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542786C2-444A-4120-A362-E92F48200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ean-based Capture" sheetId="1" r:id="rId1"/>
    <sheet name="DAC" sheetId="3" r:id="rId2"/>
    <sheet name="Enhanced Rock Weathering" sheetId="4" r:id="rId3"/>
    <sheet name="BECCS" sheetId="5" r:id="rId4"/>
    <sheet name="Other Biomass Stor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8" i="6" l="1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D7" i="1"/>
</calcChain>
</file>

<file path=xl/sharedStrings.xml><?xml version="1.0" encoding="utf-8"?>
<sst xmlns="http://schemas.openxmlformats.org/spreadsheetml/2006/main" count="335" uniqueCount="62">
  <si>
    <t>RP-25</t>
  </si>
  <si>
    <t>Original</t>
  </si>
  <si>
    <t>LCOE</t>
  </si>
  <si>
    <t>CN</t>
  </si>
  <si>
    <t>RP-50</t>
  </si>
  <si>
    <t>RP-75</t>
  </si>
  <si>
    <t>Austria</t>
  </si>
  <si>
    <t>Belgium</t>
  </si>
  <si>
    <t>Australia</t>
  </si>
  <si>
    <t>Bulgaria</t>
  </si>
  <si>
    <t>Canada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</si>
  <si>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</si>
  <si>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</si>
  <si>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</si>
  <si>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</si>
  <si>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</si>
  <si>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</si>
  <si>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</si>
  <si>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</si>
  <si>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</si>
  <si>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</si>
  <si>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Latvia</t>
  </si>
  <si>
    <t>Lithuania</t>
  </si>
  <si>
    <t>Netherlands</t>
  </si>
  <si>
    <t>New Zealand</t>
  </si>
  <si>
    <t>Norway</t>
  </si>
  <si>
    <t>Poland</t>
  </si>
  <si>
    <t>Portugal</t>
  </si>
  <si>
    <t>Romania</t>
  </si>
  <si>
    <t>Slovenia</t>
  </si>
  <si>
    <t>Spain</t>
  </si>
  <si>
    <t>Sweden</t>
  </si>
  <si>
    <t>Switzerland</t>
  </si>
  <si>
    <t>Turkey</t>
  </si>
  <si>
    <t>United Kingdom</t>
  </si>
  <si>
    <t>US</t>
  </si>
  <si>
    <t>China</t>
  </si>
  <si>
    <t>South Korea</t>
  </si>
  <si>
    <t>India</t>
  </si>
  <si>
    <t>Indonesia</t>
  </si>
  <si>
    <t>Pakistan</t>
  </si>
  <si>
    <t>Philippines</t>
  </si>
  <si>
    <t>Singapore</t>
  </si>
  <si>
    <t>Vietnam</t>
  </si>
  <si>
    <t>Israel</t>
  </si>
  <si>
    <t>Kenya</t>
  </si>
  <si>
    <t>Oman</t>
  </si>
  <si>
    <t>South Africa</t>
  </si>
  <si>
    <t>UAE</t>
  </si>
  <si>
    <t>Argentina</t>
  </si>
  <si>
    <t>Brazil</t>
  </si>
  <si>
    <t>Chile</t>
  </si>
  <si>
    <t>Colombia</t>
  </si>
  <si>
    <t>Mexico</t>
  </si>
  <si>
    <t>Peru</t>
  </si>
  <si>
    <t>Russia</t>
  </si>
  <si>
    <t>Ukraine</t>
  </si>
  <si>
    <t>Ocean-based Capture</t>
  </si>
  <si>
    <t>Other Biomass Storage</t>
  </si>
  <si>
    <t>DAC</t>
  </si>
  <si>
    <t>Enhanced Rock Weathering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</si>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</sst>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28"/>
  <sheetViews>
    <sheetView tabSelected="1" workbookViewId="0"/>
  </sheetViews>
  <sheetFormatPr defaultRowHeight="15" x14ac:dyDescent="0.25"/>
  <cols>
    <col min="1" max="2" width="9.140625" style="1"/>
    <col min="3" max="3" width="20.28515625" style="1" bestFit="1" customWidth="1"/>
    <col min="4" max="16384" width="9.140625" style="1"/>
  </cols>
  <sheetData>
    <row r="1" spans="2:54" x14ac:dyDescent="0.25"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 spans="2:54" x14ac:dyDescent="0.25">
      <c r="B2" s="2" t="s">
        <v>0</v>
      </c>
    </row>
    <row r="4" spans="2:54" x14ac:dyDescent="0.25">
      <c r="B4" s="3" t="s">
        <v>2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x14ac:dyDescent="0.25">
      <c r="B5" s="3"/>
      <c r="C5" s="1" t="s">
        <v>57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0.1870756043777089</v>
      </c>
      <c r="AJ5" s="1">
        <v>7.1969617619127429E-2</v>
      </c>
      <c r="AK5" s="1">
        <v>8.970814547919824E-2</v>
      </c>
      <c r="AL5" s="1">
        <v>8.0791304005897832E-2</v>
      </c>
      <c r="AM5" s="1">
        <v>0.16377815944444091</v>
      </c>
      <c r="AN5" s="1">
        <v>0.35642785481727401</v>
      </c>
      <c r="AO5" s="1">
        <v>7.2195491893629032E-2</v>
      </c>
      <c r="AP5" s="1">
        <v>0.2192240974187834</v>
      </c>
      <c r="AQ5" s="1">
        <v>5.3516549468204805E-2</v>
      </c>
      <c r="AR5" s="1">
        <v>0.14687525541962809</v>
      </c>
      <c r="AS5" s="1">
        <v>0.1529292250864166</v>
      </c>
      <c r="AT5" s="1">
        <v>0.18632786181503619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1.1567090129665398</v>
      </c>
      <c r="AJ7" s="1">
        <f t="shared" si="0"/>
        <v>1</v>
      </c>
      <c r="AK7" s="1">
        <f t="shared" si="0"/>
        <v>1</v>
      </c>
      <c r="AL7" s="1">
        <f t="shared" si="0"/>
        <v>1.0662198133696987</v>
      </c>
      <c r="AM7" s="1">
        <f t="shared" si="0"/>
        <v>1</v>
      </c>
      <c r="AN7" s="1">
        <f t="shared" si="0"/>
        <v>1.0098498679095342</v>
      </c>
      <c r="AO7" s="1">
        <f t="shared" si="0"/>
        <v>1</v>
      </c>
      <c r="AP7" s="1">
        <f t="shared" si="0"/>
        <v>0.97285149192339337</v>
      </c>
      <c r="AQ7" s="1">
        <f t="shared" si="0"/>
        <v>1</v>
      </c>
      <c r="AR7" s="1">
        <f t="shared" si="0"/>
        <v>1.4963682859966558</v>
      </c>
      <c r="AS7" s="1">
        <f t="shared" si="0"/>
        <v>1</v>
      </c>
      <c r="AT7" s="1">
        <f t="shared" si="0"/>
        <v>1.266090089963062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x14ac:dyDescent="0.25">
      <c r="B9" s="2" t="s">
        <v>4</v>
      </c>
    </row>
    <row r="11" spans="2:54" x14ac:dyDescent="0.25">
      <c r="B11" s="3" t="s">
        <v>2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x14ac:dyDescent="0.25">
      <c r="B12" s="3"/>
      <c r="C12" s="1" t="s">
        <v>57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0.19821972984447364</v>
      </c>
      <c r="M12" s="1">
        <v>0.19324553600147637</v>
      </c>
      <c r="N12" s="1">
        <v>0.12764033467260896</v>
      </c>
      <c r="O12" s="1">
        <v>8.7855988737275292E-2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0.17609660709307245</v>
      </c>
      <c r="AB12" s="1">
        <v>0.13116520147170757</v>
      </c>
      <c r="AC12" s="1">
        <v>0.13419130165977591</v>
      </c>
      <c r="AD12" s="1">
        <v>0.23900186012211033</v>
      </c>
      <c r="AE12" s="1">
        <v>4.1604393567144057E-2</v>
      </c>
      <c r="AF12" s="1">
        <v>0.19575047988511474</v>
      </c>
      <c r="AG12" s="1">
        <v>0.11827148245988441</v>
      </c>
      <c r="AH12" s="1">
        <v>6.3722526764350251E-2</v>
      </c>
      <c r="AI12" s="1">
        <v>0.24415116782775573</v>
      </c>
      <c r="AJ12" s="1">
        <v>6.8070626873731443E-2</v>
      </c>
      <c r="AK12" s="1">
        <v>8.7811355729438337E-2</v>
      </c>
      <c r="AL12" s="1">
        <v>9.859660032321188E-2</v>
      </c>
      <c r="AM12" s="1">
        <v>0.13856481274568017</v>
      </c>
      <c r="AN12" s="1">
        <v>0.46285570963454803</v>
      </c>
      <c r="AO12" s="1">
        <v>6.9276934144641755E-2</v>
      </c>
      <c r="AP12" s="1">
        <v>0.26845410701253253</v>
      </c>
      <c r="AQ12" s="1">
        <v>4.7485920265482838E-2</v>
      </c>
      <c r="AR12" s="1">
        <v>0.26375050223564767</v>
      </c>
      <c r="AS12" s="1">
        <v>0.11785031978505653</v>
      </c>
      <c r="AT12" s="1">
        <v>0.29265565446063946</v>
      </c>
      <c r="AU12" s="1">
        <v>3.0309976701879807E-2</v>
      </c>
      <c r="AV12" s="1">
        <v>9.3007144073045958E-2</v>
      </c>
      <c r="AW12" s="1">
        <v>0.1113388379319875</v>
      </c>
      <c r="AX12" s="1">
        <v>0.14429538748084658</v>
      </c>
      <c r="AY12" s="1">
        <v>7.9201053650843858E-2</v>
      </c>
      <c r="AZ12" s="1">
        <v>0.11655329696545856</v>
      </c>
      <c r="BA12" s="1">
        <v>8.3022234880935283E-2</v>
      </c>
      <c r="BB12" s="1">
        <v>4.0991719871745214E-2</v>
      </c>
    </row>
    <row r="14" spans="2:54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1.0000415389034731</v>
      </c>
      <c r="M14" s="1">
        <f t="shared" si="1"/>
        <v>1</v>
      </c>
      <c r="N14" s="1">
        <f t="shared" si="1"/>
        <v>1</v>
      </c>
      <c r="O14" s="1">
        <f t="shared" si="1"/>
        <v>1.0000458565749331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1.0000107023273135</v>
      </c>
      <c r="AB14" s="1">
        <f t="shared" si="1"/>
        <v>1</v>
      </c>
      <c r="AC14" s="1">
        <f t="shared" si="1"/>
        <v>1</v>
      </c>
      <c r="AD14" s="1">
        <f t="shared" si="1"/>
        <v>1.0000562037622074</v>
      </c>
      <c r="AE14" s="1">
        <f t="shared" si="1"/>
        <v>1</v>
      </c>
      <c r="AF14" s="1">
        <f t="shared" si="1"/>
        <v>1</v>
      </c>
      <c r="AG14" s="1">
        <f t="shared" si="1"/>
        <v>1.0000850805094641</v>
      </c>
      <c r="AH14" s="1">
        <f t="shared" si="1"/>
        <v>1</v>
      </c>
      <c r="AI14" s="1">
        <f t="shared" si="1"/>
        <v>1.262011962609247</v>
      </c>
      <c r="AJ14" s="1">
        <f t="shared" si="1"/>
        <v>1.0000182372085216</v>
      </c>
      <c r="AK14" s="1">
        <f t="shared" si="1"/>
        <v>1.000031288053232</v>
      </c>
      <c r="AL14" s="1">
        <f t="shared" si="1"/>
        <v>1.1875102062576295</v>
      </c>
      <c r="AM14" s="1">
        <f t="shared" si="1"/>
        <v>1.0000012287421842</v>
      </c>
      <c r="AN14" s="1">
        <f t="shared" si="1"/>
        <v>1.0152516500885795</v>
      </c>
      <c r="AO14" s="1">
        <f t="shared" si="1"/>
        <v>1.0000975394120186</v>
      </c>
      <c r="AP14" s="1">
        <f t="shared" si="1"/>
        <v>0.95685100319487837</v>
      </c>
      <c r="AQ14" s="1">
        <f t="shared" si="1"/>
        <v>1</v>
      </c>
      <c r="AR14" s="1">
        <f t="shared" si="1"/>
        <v>1.5870796296617466</v>
      </c>
      <c r="AS14" s="1">
        <f t="shared" si="1"/>
        <v>1</v>
      </c>
      <c r="AT14" s="1">
        <f t="shared" si="1"/>
        <v>1.3661941175265644</v>
      </c>
      <c r="AU14" s="1">
        <f t="shared" si="1"/>
        <v>1</v>
      </c>
      <c r="AV14" s="1">
        <f t="shared" si="1"/>
        <v>1</v>
      </c>
      <c r="AW14" s="1">
        <f t="shared" si="1"/>
        <v>1.0000021348897068</v>
      </c>
      <c r="AX14" s="1">
        <f t="shared" si="1"/>
        <v>1.0000303194726814</v>
      </c>
      <c r="AY14" s="1">
        <f t="shared" si="1"/>
        <v>1.0000741265309796</v>
      </c>
      <c r="AZ14" s="1">
        <f t="shared" si="1"/>
        <v>1</v>
      </c>
      <c r="BA14" s="1">
        <f t="shared" si="1"/>
        <v>1.0000387977291372</v>
      </c>
      <c r="BB14" s="1">
        <f t="shared" si="1"/>
        <v>1</v>
      </c>
    </row>
    <row r="16" spans="2:54" x14ac:dyDescent="0.25">
      <c r="B16" s="2" t="s">
        <v>5</v>
      </c>
    </row>
    <row r="18" spans="2:54" x14ac:dyDescent="0.25">
      <c r="B18" s="3" t="s">
        <v>2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x14ac:dyDescent="0.25">
      <c r="B19" s="3"/>
      <c r="C19" s="1" t="s">
        <v>57</v>
      </c>
      <c r="D19" s="1">
        <v>0.15293490353373024</v>
      </c>
      <c r="E19" s="1">
        <v>0.12019993202424784</v>
      </c>
      <c r="F19" s="1">
        <v>0.10061868066013092</v>
      </c>
      <c r="G19" s="1">
        <v>8.6769756435474993E-2</v>
      </c>
      <c r="H19" s="1">
        <v>6.8203794593009293E-2</v>
      </c>
      <c r="I19" s="1">
        <v>0.12770315692462478</v>
      </c>
      <c r="J19" s="1">
        <v>0.11062866373402996</v>
      </c>
      <c r="K19" s="1">
        <v>0.1083646164019041</v>
      </c>
      <c r="L19" s="1">
        <v>0.14992707029477789</v>
      </c>
      <c r="M19" s="1">
        <v>0.11316996800143131</v>
      </c>
      <c r="N19" s="1">
        <v>8.4871385651530323E-2</v>
      </c>
      <c r="O19" s="1">
        <v>8.8726922243881304E-2</v>
      </c>
      <c r="P19" s="1">
        <v>0.12598645383792556</v>
      </c>
      <c r="Q19" s="1">
        <v>0.14919281000905199</v>
      </c>
      <c r="R19" s="1">
        <v>0.10111071651862956</v>
      </c>
      <c r="S19" s="1">
        <v>8.533431106325963E-2</v>
      </c>
      <c r="T19" s="1">
        <v>0.11319305325481004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9.4632390037182351E-2</v>
      </c>
      <c r="AA19" s="1">
        <v>0.16312977018209576</v>
      </c>
      <c r="AB19" s="1">
        <v>8.4474615730185207E-2</v>
      </c>
      <c r="AC19" s="1">
        <v>9.7888831186374051E-2</v>
      </c>
      <c r="AD19" s="1">
        <v>0.1714804024241815</v>
      </c>
      <c r="AE19" s="1">
        <v>4.1120798839840461E-2</v>
      </c>
      <c r="AF19" s="1">
        <v>0.1086257166130794</v>
      </c>
      <c r="AG19" s="1">
        <v>9.7809701911816413E-2</v>
      </c>
      <c r="AH19" s="1">
        <v>6.4682278536401294E-2</v>
      </c>
      <c r="AI19" s="1">
        <v>0.30126528944365738</v>
      </c>
      <c r="AJ19" s="1">
        <v>7.2278647530553852E-2</v>
      </c>
      <c r="AK19" s="1">
        <v>9.2041078694502815E-2</v>
      </c>
      <c r="AL19" s="1">
        <v>0.12359154543714075</v>
      </c>
      <c r="AM19" s="1">
        <v>0.11861593337717534</v>
      </c>
      <c r="AN19" s="1">
        <v>0.56928356445182204</v>
      </c>
      <c r="AO19" s="1">
        <v>7.3881928031243077E-2</v>
      </c>
      <c r="AP19" s="1">
        <v>0.32212084658880497</v>
      </c>
      <c r="AQ19" s="1">
        <v>4.7485920265482838E-2</v>
      </c>
      <c r="AR19" s="1">
        <v>0.38062579206970987</v>
      </c>
      <c r="AS19" s="1">
        <v>9.1509082602146283E-2</v>
      </c>
      <c r="AT19" s="1">
        <v>0.39898355518348166</v>
      </c>
      <c r="AU19" s="1">
        <v>4.3729494462707047E-2</v>
      </c>
      <c r="AV19" s="1">
        <v>6.7858948786937989E-2</v>
      </c>
      <c r="AW19" s="1">
        <v>9.3615236030681753E-2</v>
      </c>
      <c r="AX19" s="1">
        <v>0.12208098845110535</v>
      </c>
      <c r="AY19" s="1">
        <v>7.9502591885762072E-2</v>
      </c>
      <c r="AZ19" s="1">
        <v>9.0497270686884318E-2</v>
      </c>
      <c r="BA19" s="1">
        <v>0.1129359195192156</v>
      </c>
      <c r="BB19" s="1">
        <v>3.1487575479949265E-2</v>
      </c>
    </row>
    <row r="21" spans="2:54" x14ac:dyDescent="0.25">
      <c r="D21" s="1">
        <f>D19/D18</f>
        <v>1</v>
      </c>
      <c r="E21" s="1">
        <f t="shared" ref="E21:BB21" si="2">E19/E18</f>
        <v>1</v>
      </c>
      <c r="F21" s="1">
        <f t="shared" si="2"/>
        <v>1.0000973665219532</v>
      </c>
      <c r="G21" s="1">
        <f t="shared" si="2"/>
        <v>0.99996829679393207</v>
      </c>
      <c r="H21" s="1">
        <f t="shared" si="2"/>
        <v>1.0000444635990806</v>
      </c>
      <c r="I21" s="1">
        <f t="shared" si="2"/>
        <v>1.0000071252282619</v>
      </c>
      <c r="J21" s="1">
        <f t="shared" si="2"/>
        <v>1</v>
      </c>
      <c r="K21" s="1">
        <f t="shared" si="2"/>
        <v>1</v>
      </c>
      <c r="L21" s="1">
        <f t="shared" si="2"/>
        <v>1.0000115467050843</v>
      </c>
      <c r="M21" s="1">
        <f t="shared" si="2"/>
        <v>1</v>
      </c>
      <c r="N21" s="1">
        <f t="shared" si="2"/>
        <v>1</v>
      </c>
      <c r="O21" s="1">
        <f t="shared" si="2"/>
        <v>0.99996777858222818</v>
      </c>
      <c r="P21" s="1">
        <f t="shared" si="2"/>
        <v>1</v>
      </c>
      <c r="Q21" s="1">
        <f t="shared" si="2"/>
        <v>1</v>
      </c>
      <c r="R21" s="1">
        <f t="shared" si="2"/>
        <v>1</v>
      </c>
      <c r="S21" s="1">
        <f t="shared" si="2"/>
        <v>1</v>
      </c>
      <c r="T21" s="1">
        <f t="shared" si="2"/>
        <v>1.0000856074373339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</v>
      </c>
      <c r="AA21" s="1">
        <f t="shared" si="2"/>
        <v>0.99994648766547323</v>
      </c>
      <c r="AB21" s="1">
        <f t="shared" si="2"/>
        <v>1</v>
      </c>
      <c r="AC21" s="1">
        <f t="shared" si="2"/>
        <v>1</v>
      </c>
      <c r="AD21" s="1">
        <f t="shared" si="2"/>
        <v>1.0000390401529868</v>
      </c>
      <c r="AE21" s="1">
        <f t="shared" si="2"/>
        <v>1</v>
      </c>
      <c r="AF21" s="1">
        <f t="shared" si="2"/>
        <v>1</v>
      </c>
      <c r="AG21" s="1">
        <f t="shared" si="2"/>
        <v>1</v>
      </c>
      <c r="AH21" s="1">
        <f t="shared" si="2"/>
        <v>1.0000087073940511</v>
      </c>
      <c r="AI21" s="1">
        <f t="shared" si="2"/>
        <v>1.3385426985143307</v>
      </c>
      <c r="AJ21" s="1">
        <f t="shared" si="2"/>
        <v>1</v>
      </c>
      <c r="AK21" s="1">
        <f t="shared" si="2"/>
        <v>1</v>
      </c>
      <c r="AL21" s="1">
        <f t="shared" si="2"/>
        <v>1.2736452314058664</v>
      </c>
      <c r="AM21" s="1">
        <f t="shared" si="2"/>
        <v>1</v>
      </c>
      <c r="AN21" s="1">
        <f t="shared" si="2"/>
        <v>1.0186628220183629</v>
      </c>
      <c r="AO21" s="1">
        <f t="shared" si="2"/>
        <v>1.0000017586751782</v>
      </c>
      <c r="AP21" s="1">
        <f t="shared" si="2"/>
        <v>0.95932692028623301</v>
      </c>
      <c r="AQ21" s="1">
        <f t="shared" si="2"/>
        <v>1</v>
      </c>
      <c r="AR21" s="1">
        <f t="shared" si="2"/>
        <v>1.6250951624856396</v>
      </c>
      <c r="AS21" s="1">
        <f t="shared" si="2"/>
        <v>1</v>
      </c>
      <c r="AT21" s="1">
        <f t="shared" si="2"/>
        <v>1.4185741601495256</v>
      </c>
      <c r="AU21" s="1">
        <f t="shared" si="2"/>
        <v>1</v>
      </c>
      <c r="AV21" s="1">
        <f t="shared" si="2"/>
        <v>1</v>
      </c>
      <c r="AW21" s="1">
        <f t="shared" si="2"/>
        <v>1</v>
      </c>
      <c r="AX21" s="1">
        <f t="shared" si="2"/>
        <v>1.0000510947402932</v>
      </c>
      <c r="AY21" s="1">
        <f t="shared" si="2"/>
        <v>1.0000051769946348</v>
      </c>
      <c r="AZ21" s="1">
        <f t="shared" si="2"/>
        <v>1.0000016654607939</v>
      </c>
      <c r="BA21" s="1">
        <f t="shared" si="2"/>
        <v>1.0000082511802775</v>
      </c>
      <c r="BB21" s="1">
        <f t="shared" si="2"/>
        <v>1</v>
      </c>
    </row>
    <row r="23" spans="2:54" x14ac:dyDescent="0.25">
      <c r="B23" s="2" t="s">
        <v>3</v>
      </c>
    </row>
    <row r="25" spans="2:54" x14ac:dyDescent="0.25">
      <c r="B25" s="3" t="s">
        <v>2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x14ac:dyDescent="0.25">
      <c r="B26" s="3"/>
      <c r="C26" s="1" t="s">
        <v>57</v>
      </c>
      <c r="D26" s="1">
        <v>0.13462156356300317</v>
      </c>
      <c r="E26" s="1">
        <v>8.8253259853880536E-2</v>
      </c>
      <c r="F26" s="1">
        <v>6.2975160576538916E-2</v>
      </c>
      <c r="G26" s="1">
        <v>9.6467672134158799E-2</v>
      </c>
      <c r="H26" s="1">
        <v>7.0633351289777366E-2</v>
      </c>
      <c r="I26" s="1">
        <v>9.5933622669526084E-2</v>
      </c>
      <c r="J26" s="1">
        <v>7.0508562751268197E-2</v>
      </c>
      <c r="K26" s="1">
        <v>0.11082066496114426</v>
      </c>
      <c r="L26" s="1">
        <v>0.11439141960748217</v>
      </c>
      <c r="M26" s="1">
        <v>7.8507220092666544E-2</v>
      </c>
      <c r="N26" s="1">
        <v>6.9011403127281726E-2</v>
      </c>
      <c r="O26" s="1">
        <v>0.10511572449642625</v>
      </c>
      <c r="P26" s="1">
        <v>8.3825446005926257E-2</v>
      </c>
      <c r="Q26" s="1">
        <v>8.5489562937312691E-2</v>
      </c>
      <c r="R26" s="1">
        <v>8.5503357534765081E-2</v>
      </c>
      <c r="S26" s="1">
        <v>7.7512746052704265E-2</v>
      </c>
      <c r="T26" s="1">
        <v>0.11460669788219975</v>
      </c>
      <c r="U26" s="1">
        <v>7.2490953717809489E-2</v>
      </c>
      <c r="V26" s="1">
        <v>4.3697904742018207E-2</v>
      </c>
      <c r="W26" s="1">
        <v>8.2983387788068366E-2</v>
      </c>
      <c r="X26" s="1">
        <v>8.3766673184791932E-2</v>
      </c>
      <c r="Y26" s="1">
        <v>5.4510480647362775E-2</v>
      </c>
      <c r="Z26" s="1">
        <v>9.9260172785148176E-2</v>
      </c>
      <c r="AA26" s="1">
        <v>0.21280343789960243</v>
      </c>
      <c r="AB26" s="1">
        <v>5.8459242771533991E-2</v>
      </c>
      <c r="AC26" s="1">
        <v>9.0349041526111493E-2</v>
      </c>
      <c r="AD26" s="1">
        <v>0.13258608535070429</v>
      </c>
      <c r="AE26" s="1">
        <v>6.7228893274331986E-2</v>
      </c>
      <c r="AF26" s="1">
        <v>6.5352841196334249E-2</v>
      </c>
      <c r="AG26" s="1">
        <v>8.9849582298853814E-2</v>
      </c>
      <c r="AH26" s="1">
        <v>7.8664877972065686E-2</v>
      </c>
      <c r="AI26" s="1">
        <v>0.35995641850214666</v>
      </c>
      <c r="AJ26" s="1">
        <v>9.3083215400753525E-2</v>
      </c>
      <c r="AK26" s="1">
        <v>0.11348939821898321</v>
      </c>
      <c r="AL26" s="1">
        <v>0.14972452213868201</v>
      </c>
      <c r="AM26" s="1">
        <v>0.10849609146379097</v>
      </c>
      <c r="AN26" s="1">
        <v>0.67571141926909606</v>
      </c>
      <c r="AO26" s="1">
        <v>8.9702832086615794E-2</v>
      </c>
      <c r="AP26" s="1">
        <v>0.37979010696055737</v>
      </c>
      <c r="AQ26" s="1">
        <v>4.7485920265482838E-2</v>
      </c>
      <c r="AR26" s="1">
        <v>0.49750108190377207</v>
      </c>
      <c r="AS26" s="1">
        <v>8.049947687985598E-2</v>
      </c>
      <c r="AT26" s="1">
        <v>0.50531145590632387</v>
      </c>
      <c r="AU26" s="1">
        <v>7.5121956084639202E-2</v>
      </c>
      <c r="AV26" s="1">
        <v>6.3013978225236758E-2</v>
      </c>
      <c r="AW26" s="1">
        <v>9.6125539596094614E-2</v>
      </c>
      <c r="AX26" s="1">
        <v>0.11655023200662722</v>
      </c>
      <c r="AY26" s="1">
        <v>9.3709635143068196E-2</v>
      </c>
      <c r="AZ26" s="1">
        <v>7.2529708947909652E-2</v>
      </c>
      <c r="BA26" s="1">
        <v>0.24018901907510951</v>
      </c>
      <c r="BB26" s="1">
        <v>4.6384860430525122E-2</v>
      </c>
    </row>
    <row r="28" spans="2:54" x14ac:dyDescent="0.25">
      <c r="D28" s="1">
        <f>D26/D25</f>
        <v>1.0276989746727205</v>
      </c>
      <c r="E28" s="1">
        <f t="shared" ref="E28:BB28" si="3">E26/E25</f>
        <v>1.0440558850007806</v>
      </c>
      <c r="F28" s="1">
        <f t="shared" si="3"/>
        <v>1.0388583527064787</v>
      </c>
      <c r="G28" s="1">
        <f t="shared" si="3"/>
        <v>1.0915973840804023</v>
      </c>
      <c r="H28" s="1">
        <f t="shared" si="3"/>
        <v>1.0793098266722447</v>
      </c>
      <c r="I28" s="1">
        <f t="shared" si="3"/>
        <v>1.0804341397429691</v>
      </c>
      <c r="J28" s="1">
        <f t="shared" si="3"/>
        <v>1.0425198368326472</v>
      </c>
      <c r="K28" s="1">
        <f t="shared" si="3"/>
        <v>1.019898511571985</v>
      </c>
      <c r="L28" s="1">
        <f t="shared" si="3"/>
        <v>1.0033362207620071</v>
      </c>
      <c r="M28" s="1">
        <f t="shared" si="3"/>
        <v>1.0895804518072563</v>
      </c>
      <c r="N28" s="1">
        <f t="shared" si="3"/>
        <v>1.0570619159021295</v>
      </c>
      <c r="O28" s="1">
        <f t="shared" si="3"/>
        <v>1.1158851068027196</v>
      </c>
      <c r="P28" s="1">
        <f t="shared" si="3"/>
        <v>1.1094579304277516</v>
      </c>
      <c r="Q28" s="1">
        <f t="shared" si="3"/>
        <v>1.0417790539474776</v>
      </c>
      <c r="R28" s="1">
        <f t="shared" si="3"/>
        <v>1.0442153003254799</v>
      </c>
      <c r="S28" s="1">
        <f t="shared" si="3"/>
        <v>1.1361579046973098</v>
      </c>
      <c r="T28" s="1">
        <f t="shared" si="3"/>
        <v>1.0536825483464689</v>
      </c>
      <c r="U28" s="1">
        <f t="shared" si="3"/>
        <v>1.1417627424091894</v>
      </c>
      <c r="V28" s="1">
        <f t="shared" si="3"/>
        <v>1.0910640143601404</v>
      </c>
      <c r="W28" s="1">
        <f t="shared" si="3"/>
        <v>1.0074170746456306</v>
      </c>
      <c r="X28" s="1">
        <f t="shared" si="3"/>
        <v>1.1984252007530356</v>
      </c>
      <c r="Y28" s="1">
        <f t="shared" si="3"/>
        <v>1.0408136671862434</v>
      </c>
      <c r="Z28" s="1">
        <f t="shared" si="3"/>
        <v>1.0923056432776366</v>
      </c>
      <c r="AA28" s="1">
        <f t="shared" si="3"/>
        <v>1.192228642998054</v>
      </c>
      <c r="AB28" s="1">
        <f t="shared" si="3"/>
        <v>1.0246928626589791</v>
      </c>
      <c r="AC28" s="1">
        <f t="shared" si="3"/>
        <v>0.99968359099549309</v>
      </c>
      <c r="AD28" s="1">
        <f t="shared" si="3"/>
        <v>1.0005321507325533</v>
      </c>
      <c r="AE28" s="1">
        <f t="shared" si="3"/>
        <v>1.1405670433213513</v>
      </c>
      <c r="AF28" s="1">
        <f t="shared" si="3"/>
        <v>1.087847320074913</v>
      </c>
      <c r="AG28" s="1">
        <f t="shared" si="3"/>
        <v>1.042442260338736</v>
      </c>
      <c r="AH28" s="1">
        <f t="shared" si="3"/>
        <v>1.0503343786099499</v>
      </c>
      <c r="AI28" s="1">
        <f t="shared" si="3"/>
        <v>1.4016960881764535</v>
      </c>
      <c r="AJ28" s="1">
        <f t="shared" si="3"/>
        <v>1.0579637616810686</v>
      </c>
      <c r="AK28" s="1">
        <f t="shared" si="3"/>
        <v>1.0623346117496049</v>
      </c>
      <c r="AL28" s="1">
        <f t="shared" si="3"/>
        <v>1.3206875108153273</v>
      </c>
      <c r="AM28" s="1">
        <f t="shared" si="3"/>
        <v>1.0239813004067084</v>
      </c>
      <c r="AN28" s="1">
        <f t="shared" si="3"/>
        <v>1.0212035370652728</v>
      </c>
      <c r="AO28" s="1">
        <f t="shared" si="3"/>
        <v>1.0419453962517213</v>
      </c>
      <c r="AP28" s="1">
        <f t="shared" si="3"/>
        <v>0.97134025198024443</v>
      </c>
      <c r="AQ28" s="1">
        <f t="shared" si="3"/>
        <v>1</v>
      </c>
      <c r="AR28" s="1">
        <f t="shared" si="3"/>
        <v>1.6459958967308346</v>
      </c>
      <c r="AS28" s="1">
        <f t="shared" si="3"/>
        <v>1.0412599582722202</v>
      </c>
      <c r="AT28" s="1">
        <f t="shared" si="3"/>
        <v>1.4502740512120602</v>
      </c>
      <c r="AU28" s="1">
        <f t="shared" si="3"/>
        <v>1.1824114880667012</v>
      </c>
      <c r="AV28" s="1">
        <f t="shared" si="3"/>
        <v>1.0666765785570411</v>
      </c>
      <c r="AW28" s="1">
        <f t="shared" si="3"/>
        <v>1.0776476698673745</v>
      </c>
      <c r="AX28" s="1">
        <f t="shared" si="3"/>
        <v>1.0567303761262916</v>
      </c>
      <c r="AY28" s="1">
        <f t="shared" si="3"/>
        <v>1.049933377182231</v>
      </c>
      <c r="AZ28" s="1">
        <f t="shared" si="3"/>
        <v>1.0220489560795813</v>
      </c>
      <c r="BA28" s="1">
        <f t="shared" si="3"/>
        <v>1.3639258820683346</v>
      </c>
      <c r="BB28" s="1">
        <f t="shared" si="3"/>
        <v>1.2505480812198613</v>
      </c>
    </row>
  </sheetData>
  <mergeCells count="4">
    <mergeCell ref="B4:B5"/>
    <mergeCell ref="B25:B26"/>
    <mergeCell ref="B11:B12"/>
    <mergeCell ref="B18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963-BC32-4BDE-B20C-F824A6834284}">
  <dimension ref="B1:BB28"/>
  <sheetViews>
    <sheetView workbookViewId="0"/>
  </sheetViews>
  <sheetFormatPr defaultRowHeight="15" x14ac:dyDescent="0.25"/>
  <cols>
    <col min="1" max="2" width="9.140625" style="1"/>
    <col min="3" max="3" width="20.28515625" style="1" bestFit="1" customWidth="1"/>
    <col min="4" max="16384" width="9.140625" style="1"/>
  </cols>
  <sheetData>
    <row r="1" spans="2:54" x14ac:dyDescent="0.25"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 spans="2:54" x14ac:dyDescent="0.25">
      <c r="B2" s="2" t="s">
        <v>0</v>
      </c>
    </row>
    <row r="4" spans="2:54" x14ac:dyDescent="0.25">
      <c r="B4" s="3" t="s">
        <v>2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x14ac:dyDescent="0.25">
      <c r="B5" s="3"/>
      <c r="C5" s="1" t="s">
        <v>59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0.14652876342238833</v>
      </c>
      <c r="AJ5" s="1">
        <v>7.1969617619127429E-2</v>
      </c>
      <c r="AK5" s="1">
        <v>8.970814547919824E-2</v>
      </c>
      <c r="AL5" s="1">
        <v>7.1126168452225039E-2</v>
      </c>
      <c r="AM5" s="1">
        <v>0.16377815944444091</v>
      </c>
      <c r="AN5" s="1">
        <v>0.28204483981695344</v>
      </c>
      <c r="AO5" s="1">
        <v>7.2195491893629032E-2</v>
      </c>
      <c r="AP5" s="1">
        <v>0.17717239945512703</v>
      </c>
      <c r="AQ5" s="1">
        <v>5.3516549468204805E-2</v>
      </c>
      <c r="AR5" s="1">
        <v>6.9977385414990753E-2</v>
      </c>
      <c r="AS5" s="1">
        <v>0.1529292250864166</v>
      </c>
      <c r="AT5" s="1">
        <v>0.11526887131264778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0.90600344108637942</v>
      </c>
      <c r="AJ7" s="1">
        <f t="shared" si="0"/>
        <v>1</v>
      </c>
      <c r="AK7" s="1">
        <f t="shared" si="0"/>
        <v>1</v>
      </c>
      <c r="AL7" s="1">
        <f t="shared" si="0"/>
        <v>0.93866698880484745</v>
      </c>
      <c r="AM7" s="1">
        <f t="shared" si="0"/>
        <v>1</v>
      </c>
      <c r="AN7" s="1">
        <f t="shared" si="0"/>
        <v>0.79910405537674156</v>
      </c>
      <c r="AO7" s="1">
        <f t="shared" si="0"/>
        <v>1</v>
      </c>
      <c r="AP7" s="1">
        <f t="shared" si="0"/>
        <v>0.78623853475516459</v>
      </c>
      <c r="AQ7" s="1">
        <f t="shared" si="0"/>
        <v>1</v>
      </c>
      <c r="AR7" s="1">
        <f t="shared" si="0"/>
        <v>0.71293111949178356</v>
      </c>
      <c r="AS7" s="1">
        <f t="shared" si="0"/>
        <v>1</v>
      </c>
      <c r="AT7" s="1">
        <f t="shared" si="0"/>
        <v>0.7832471978616018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x14ac:dyDescent="0.25">
      <c r="B9" s="2" t="s">
        <v>4</v>
      </c>
    </row>
    <row r="11" spans="2:54" x14ac:dyDescent="0.25">
      <c r="B11" s="3" t="s">
        <v>2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x14ac:dyDescent="0.25">
      <c r="B12" s="3"/>
      <c r="C12" s="1" t="s">
        <v>59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0.19822099653496816</v>
      </c>
      <c r="M12" s="1">
        <v>0.19324553600147637</v>
      </c>
      <c r="N12" s="1">
        <v>0.12764033467260896</v>
      </c>
      <c r="O12" s="1">
        <v>8.7855988737275292E-2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0.17609554563853747</v>
      </c>
      <c r="AB12" s="1">
        <v>0.13116520147170757</v>
      </c>
      <c r="AC12" s="1">
        <v>0.13419130165977591</v>
      </c>
      <c r="AD12" s="1">
        <v>0.23900597639512408</v>
      </c>
      <c r="AE12" s="1">
        <v>4.1604393567144057E-2</v>
      </c>
      <c r="AF12" s="1">
        <v>0.19575047988511474</v>
      </c>
      <c r="AG12" s="1">
        <v>0.11827304192307019</v>
      </c>
      <c r="AH12" s="1">
        <v>6.3722526764350251E-2</v>
      </c>
      <c r="AI12" s="1">
        <v>0.16305755053973892</v>
      </c>
      <c r="AJ12" s="1">
        <v>6.8070626873731443E-2</v>
      </c>
      <c r="AK12" s="1">
        <v>8.7811355729438337E-2</v>
      </c>
      <c r="AL12" s="1">
        <v>7.9289599955994022E-2</v>
      </c>
      <c r="AM12" s="1">
        <v>0.13856481274568017</v>
      </c>
      <c r="AN12" s="1">
        <v>0.31408946304154589</v>
      </c>
      <c r="AO12" s="1">
        <v>6.9275223345863307E-2</v>
      </c>
      <c r="AP12" s="1">
        <v>0.18435055949098988</v>
      </c>
      <c r="AQ12" s="1">
        <v>4.7485920265482838E-2</v>
      </c>
      <c r="AR12" s="1">
        <v>0.10995476222637299</v>
      </c>
      <c r="AS12" s="1">
        <v>0.11785031978505653</v>
      </c>
      <c r="AT12" s="1">
        <v>0.15053771668675822</v>
      </c>
      <c r="AU12" s="1">
        <v>3.0309976701879807E-2</v>
      </c>
      <c r="AV12" s="1">
        <v>9.3007144073045958E-2</v>
      </c>
      <c r="AW12" s="1">
        <v>0.11134298680119376</v>
      </c>
      <c r="AX12" s="1">
        <v>0.14429101265343028</v>
      </c>
      <c r="AY12" s="1">
        <v>7.9201053650843858E-2</v>
      </c>
      <c r="AZ12" s="1">
        <v>0.11655329696545856</v>
      </c>
      <c r="BA12" s="1">
        <v>8.3022275396019751E-2</v>
      </c>
      <c r="BB12" s="1">
        <v>4.0991719871745214E-2</v>
      </c>
    </row>
    <row r="14" spans="2:54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1.0000479295040074</v>
      </c>
      <c r="M14" s="1">
        <f t="shared" si="1"/>
        <v>1</v>
      </c>
      <c r="N14" s="1">
        <f t="shared" si="1"/>
        <v>1</v>
      </c>
      <c r="O14" s="1">
        <f t="shared" si="1"/>
        <v>1.0000458565749331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1.0000046745797462</v>
      </c>
      <c r="AB14" s="1">
        <f t="shared" si="1"/>
        <v>1</v>
      </c>
      <c r="AC14" s="1">
        <f t="shared" si="1"/>
        <v>1</v>
      </c>
      <c r="AD14" s="1">
        <f t="shared" si="1"/>
        <v>1.000073427495787</v>
      </c>
      <c r="AE14" s="1">
        <f t="shared" si="1"/>
        <v>1</v>
      </c>
      <c r="AF14" s="1">
        <f t="shared" si="1"/>
        <v>1</v>
      </c>
      <c r="AG14" s="1">
        <f t="shared" si="1"/>
        <v>1.000098267085241</v>
      </c>
      <c r="AH14" s="1">
        <f t="shared" si="1"/>
        <v>1</v>
      </c>
      <c r="AI14" s="1">
        <f t="shared" si="1"/>
        <v>0.84284085636685091</v>
      </c>
      <c r="AJ14" s="1">
        <f t="shared" si="1"/>
        <v>1.0000182372085216</v>
      </c>
      <c r="AK14" s="1">
        <f t="shared" si="1"/>
        <v>1.000031288053232</v>
      </c>
      <c r="AL14" s="1">
        <f t="shared" si="1"/>
        <v>0.95497419676914208</v>
      </c>
      <c r="AM14" s="1">
        <f t="shared" si="1"/>
        <v>1.0000012287421842</v>
      </c>
      <c r="AN14" s="1">
        <f t="shared" si="1"/>
        <v>0.68894007136725155</v>
      </c>
      <c r="AO14" s="1">
        <f t="shared" si="1"/>
        <v>1.0000728419326934</v>
      </c>
      <c r="AP14" s="1">
        <f t="shared" si="1"/>
        <v>0.65708071949987301</v>
      </c>
      <c r="AQ14" s="1">
        <f t="shared" si="1"/>
        <v>1</v>
      </c>
      <c r="AR14" s="1">
        <f t="shared" si="1"/>
        <v>0.66163651570173831</v>
      </c>
      <c r="AS14" s="1">
        <f t="shared" si="1"/>
        <v>1</v>
      </c>
      <c r="AT14" s="1">
        <f t="shared" si="1"/>
        <v>0.70274993791719209</v>
      </c>
      <c r="AU14" s="1">
        <f t="shared" si="1"/>
        <v>1</v>
      </c>
      <c r="AV14" s="1">
        <f t="shared" si="1"/>
        <v>1</v>
      </c>
      <c r="AW14" s="1">
        <f t="shared" si="1"/>
        <v>1.0000393984191336</v>
      </c>
      <c r="AX14" s="1">
        <f t="shared" si="1"/>
        <v>1</v>
      </c>
      <c r="AY14" s="1">
        <f t="shared" si="1"/>
        <v>1.0000741265309796</v>
      </c>
      <c r="AZ14" s="1">
        <f t="shared" si="1"/>
        <v>1</v>
      </c>
      <c r="BA14" s="1">
        <f t="shared" si="1"/>
        <v>1.0000392857508873</v>
      </c>
      <c r="BB14" s="1">
        <f t="shared" si="1"/>
        <v>1</v>
      </c>
    </row>
    <row r="16" spans="2:54" x14ac:dyDescent="0.25">
      <c r="B16" s="2" t="s">
        <v>5</v>
      </c>
    </row>
    <row r="18" spans="2:54" x14ac:dyDescent="0.25">
      <c r="B18" s="3" t="s">
        <v>2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x14ac:dyDescent="0.25">
      <c r="B19" s="3"/>
      <c r="C19" s="1" t="s">
        <v>59</v>
      </c>
      <c r="D19" s="1">
        <v>0.15293490353373024</v>
      </c>
      <c r="E19" s="1">
        <v>0.12019993202424784</v>
      </c>
      <c r="F19" s="1">
        <v>0.10061883432189066</v>
      </c>
      <c r="G19" s="1">
        <v>8.6769886402404905E-2</v>
      </c>
      <c r="H19" s="1">
        <v>6.8203383046041052E-2</v>
      </c>
      <c r="I19" s="1">
        <v>0.12770309193122051</v>
      </c>
      <c r="J19" s="1">
        <v>0.11062866373402996</v>
      </c>
      <c r="K19" s="1">
        <v>0.1083646164019041</v>
      </c>
      <c r="L19" s="1">
        <v>0.14992989923688232</v>
      </c>
      <c r="M19" s="1">
        <v>0.11316996800143131</v>
      </c>
      <c r="N19" s="1">
        <v>8.4871385651530323E-2</v>
      </c>
      <c r="O19" s="1">
        <v>8.8730625947585018E-2</v>
      </c>
      <c r="P19" s="1">
        <v>0.12598645383792556</v>
      </c>
      <c r="Q19" s="1">
        <v>0.14919281000905199</v>
      </c>
      <c r="R19" s="1">
        <v>0.10111071651862956</v>
      </c>
      <c r="S19" s="1">
        <v>8.533431106325963E-2</v>
      </c>
      <c r="T19" s="1">
        <v>0.11319264953240446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9.463275484350131E-2</v>
      </c>
      <c r="AA19" s="1">
        <v>0.16313254296128918</v>
      </c>
      <c r="AB19" s="1">
        <v>8.4474615730185207E-2</v>
      </c>
      <c r="AC19" s="1">
        <v>9.7888831186374051E-2</v>
      </c>
      <c r="AD19" s="1">
        <v>0.1714775643622615</v>
      </c>
      <c r="AE19" s="1">
        <v>4.1120798839840461E-2</v>
      </c>
      <c r="AF19" s="1">
        <v>0.1086257166130794</v>
      </c>
      <c r="AG19" s="1">
        <v>9.7809723274325813E-2</v>
      </c>
      <c r="AH19" s="1">
        <v>6.4678877619410088E-2</v>
      </c>
      <c r="AI19" s="1">
        <v>0.17962487428206958</v>
      </c>
      <c r="AJ19" s="1">
        <v>7.2278647530553852E-2</v>
      </c>
      <c r="AK19" s="1">
        <v>9.204124030393887E-2</v>
      </c>
      <c r="AL19" s="1">
        <v>9.4638232386381096E-2</v>
      </c>
      <c r="AM19" s="1">
        <v>0.11861593337717534</v>
      </c>
      <c r="AN19" s="1">
        <v>0.34613430285849933</v>
      </c>
      <c r="AO19" s="1">
        <v>7.3881928031243077E-2</v>
      </c>
      <c r="AP19" s="1">
        <v>0.19597476172635508</v>
      </c>
      <c r="AQ19" s="1">
        <v>4.7485920265482838E-2</v>
      </c>
      <c r="AR19" s="1">
        <v>0.14993213903775521</v>
      </c>
      <c r="AS19" s="1">
        <v>9.1509082602146283E-2</v>
      </c>
      <c r="AT19" s="1">
        <v>0.18580658367631644</v>
      </c>
      <c r="AU19" s="1">
        <v>4.3729494462707047E-2</v>
      </c>
      <c r="AV19" s="1">
        <v>6.7858948786937989E-2</v>
      </c>
      <c r="AW19" s="1">
        <v>9.3615236030681753E-2</v>
      </c>
      <c r="AX19" s="1">
        <v>0.12207828125592199</v>
      </c>
      <c r="AY19" s="1">
        <v>7.9502180303401185E-2</v>
      </c>
      <c r="AZ19" s="1">
        <v>9.0497270686884318E-2</v>
      </c>
      <c r="BA19" s="1">
        <v>0.11293508895998386</v>
      </c>
      <c r="BB19" s="1">
        <v>3.1487575479949265E-2</v>
      </c>
    </row>
    <row r="21" spans="2:54" x14ac:dyDescent="0.25">
      <c r="D21" s="1">
        <f>D19/D18</f>
        <v>1</v>
      </c>
      <c r="E21" s="1">
        <f t="shared" ref="E21:BB21" si="2">E19/E18</f>
        <v>1</v>
      </c>
      <c r="F21" s="1">
        <f t="shared" si="2"/>
        <v>1.0000988938399447</v>
      </c>
      <c r="G21" s="1">
        <f t="shared" si="2"/>
        <v>0.99996979458319513</v>
      </c>
      <c r="H21" s="1">
        <f t="shared" si="2"/>
        <v>1.000038429253491</v>
      </c>
      <c r="I21" s="1">
        <f t="shared" si="2"/>
        <v>1.0000066162833858</v>
      </c>
      <c r="J21" s="1">
        <f t="shared" si="2"/>
        <v>1</v>
      </c>
      <c r="K21" s="1">
        <f t="shared" si="2"/>
        <v>1</v>
      </c>
      <c r="L21" s="1">
        <f t="shared" si="2"/>
        <v>1.0000304157109539</v>
      </c>
      <c r="M21" s="1">
        <f t="shared" si="2"/>
        <v>1</v>
      </c>
      <c r="N21" s="1">
        <f t="shared" si="2"/>
        <v>1</v>
      </c>
      <c r="O21" s="1">
        <f t="shared" si="2"/>
        <v>1.0000095199643417</v>
      </c>
      <c r="P21" s="1">
        <f t="shared" si="2"/>
        <v>1</v>
      </c>
      <c r="Q21" s="1">
        <f t="shared" si="2"/>
        <v>1</v>
      </c>
      <c r="R21" s="1">
        <f t="shared" si="2"/>
        <v>1</v>
      </c>
      <c r="S21" s="1">
        <f t="shared" si="2"/>
        <v>1</v>
      </c>
      <c r="T21" s="1">
        <f t="shared" si="2"/>
        <v>1.0000820404607782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1.0000038549836776</v>
      </c>
      <c r="AA21" s="1">
        <f t="shared" si="2"/>
        <v>0.99996348413897052</v>
      </c>
      <c r="AB21" s="1">
        <f t="shared" si="2"/>
        <v>1</v>
      </c>
      <c r="AC21" s="1">
        <f t="shared" si="2"/>
        <v>1</v>
      </c>
      <c r="AD21" s="1">
        <f t="shared" si="2"/>
        <v>1.000022489149617</v>
      </c>
      <c r="AE21" s="1">
        <f t="shared" si="2"/>
        <v>1</v>
      </c>
      <c r="AF21" s="1">
        <f t="shared" si="2"/>
        <v>1</v>
      </c>
      <c r="AG21" s="1">
        <f t="shared" si="2"/>
        <v>1.0000002184088999</v>
      </c>
      <c r="AH21" s="1">
        <f t="shared" si="2"/>
        <v>0.99995612812997325</v>
      </c>
      <c r="AI21" s="1">
        <f t="shared" si="2"/>
        <v>0.79808584781150194</v>
      </c>
      <c r="AJ21" s="1">
        <f t="shared" si="2"/>
        <v>1</v>
      </c>
      <c r="AK21" s="1">
        <f t="shared" si="2"/>
        <v>1.0000017558403089</v>
      </c>
      <c r="AL21" s="1">
        <f t="shared" si="2"/>
        <v>0.97527329204649726</v>
      </c>
      <c r="AM21" s="1">
        <f t="shared" si="2"/>
        <v>1</v>
      </c>
      <c r="AN21" s="1">
        <f t="shared" si="2"/>
        <v>0.61936470287302192</v>
      </c>
      <c r="AO21" s="1">
        <f t="shared" si="2"/>
        <v>1.0000017586751782</v>
      </c>
      <c r="AP21" s="1">
        <f t="shared" si="2"/>
        <v>0.58364389207248057</v>
      </c>
      <c r="AQ21" s="1">
        <f t="shared" si="2"/>
        <v>1</v>
      </c>
      <c r="AR21" s="1">
        <f t="shared" si="2"/>
        <v>0.6401405236531007</v>
      </c>
      <c r="AS21" s="1">
        <f t="shared" si="2"/>
        <v>1</v>
      </c>
      <c r="AT21" s="1">
        <f t="shared" si="2"/>
        <v>0.66062978026166941</v>
      </c>
      <c r="AU21" s="1">
        <f t="shared" si="2"/>
        <v>1</v>
      </c>
      <c r="AV21" s="1">
        <f t="shared" si="2"/>
        <v>1</v>
      </c>
      <c r="AW21" s="1">
        <f t="shared" si="2"/>
        <v>1</v>
      </c>
      <c r="AX21" s="1">
        <f t="shared" si="2"/>
        <v>1.0000289182037077</v>
      </c>
      <c r="AY21" s="1">
        <f t="shared" si="2"/>
        <v>1</v>
      </c>
      <c r="AZ21" s="1">
        <f t="shared" si="2"/>
        <v>1.0000016654607939</v>
      </c>
      <c r="BA21" s="1">
        <f t="shared" si="2"/>
        <v>1.0000008968674214</v>
      </c>
      <c r="BB21" s="1">
        <f t="shared" si="2"/>
        <v>1</v>
      </c>
    </row>
    <row r="23" spans="2:54" x14ac:dyDescent="0.25">
      <c r="B23" s="2" t="s">
        <v>3</v>
      </c>
    </row>
    <row r="25" spans="2:54" x14ac:dyDescent="0.25">
      <c r="B25" s="3" t="s">
        <v>2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x14ac:dyDescent="0.25">
      <c r="B26" s="3"/>
      <c r="C26" s="1" t="s">
        <v>59</v>
      </c>
      <c r="D26" s="1">
        <v>0.13137047459529974</v>
      </c>
      <c r="E26" s="1">
        <v>8.4783163977774384E-2</v>
      </c>
      <c r="F26" s="1">
        <v>6.0805610190847903E-2</v>
      </c>
      <c r="G26" s="1">
        <v>8.9279027951337783E-2</v>
      </c>
      <c r="H26" s="1">
        <v>6.5798064299665115E-2</v>
      </c>
      <c r="I26" s="1">
        <v>8.9730045562542826E-2</v>
      </c>
      <c r="J26" s="1">
        <v>6.79197929741506E-2</v>
      </c>
      <c r="K26" s="1">
        <v>0.10884204765405073</v>
      </c>
      <c r="L26" s="1">
        <v>0.11393148428892112</v>
      </c>
      <c r="M26" s="1">
        <v>7.2978331816038453E-2</v>
      </c>
      <c r="N26" s="1">
        <v>6.550468214480934E-2</v>
      </c>
      <c r="O26" s="1">
        <v>9.5505414771496641E-2</v>
      </c>
      <c r="P26" s="1">
        <v>7.6728887720851319E-2</v>
      </c>
      <c r="Q26" s="1">
        <v>8.2228962995061883E-2</v>
      </c>
      <c r="R26" s="1">
        <v>8.2094641167191576E-2</v>
      </c>
      <c r="S26" s="1">
        <v>6.9584078455244489E-2</v>
      </c>
      <c r="T26" s="1">
        <v>0.10952502271469745</v>
      </c>
      <c r="U26" s="1">
        <v>6.4720232910217126E-2</v>
      </c>
      <c r="V26" s="1">
        <v>4.0179281008815244E-2</v>
      </c>
      <c r="W26" s="1">
        <v>8.23165310547853E-2</v>
      </c>
      <c r="X26" s="1">
        <v>7.2513187655799879E-2</v>
      </c>
      <c r="Y26" s="1">
        <v>5.2561047739754965E-2</v>
      </c>
      <c r="Z26" s="1">
        <v>9.1614497574789053E-2</v>
      </c>
      <c r="AA26" s="1">
        <v>0.18316621923108667</v>
      </c>
      <c r="AB26" s="1">
        <v>5.7035383451044239E-2</v>
      </c>
      <c r="AC26" s="1">
        <v>9.0266045153576849E-2</v>
      </c>
      <c r="AD26" s="1">
        <v>0.13241424178467734</v>
      </c>
      <c r="AE26" s="1">
        <v>5.9788781139437454E-2</v>
      </c>
      <c r="AF26" s="1">
        <v>6.0709490613496446E-2</v>
      </c>
      <c r="AG26" s="1">
        <v>8.6597140243592427E-2</v>
      </c>
      <c r="AH26" s="1">
        <v>7.5234912384146785E-2</v>
      </c>
      <c r="AI26" s="1">
        <v>0.19776911930348873</v>
      </c>
      <c r="AJ26" s="1">
        <v>8.8656107821412838E-2</v>
      </c>
      <c r="AK26" s="1">
        <v>0.10796936531530203</v>
      </c>
      <c r="AL26" s="1">
        <v>0.1111123048497039</v>
      </c>
      <c r="AM26" s="1">
        <v>0.10627611100115139</v>
      </c>
      <c r="AN26" s="1">
        <v>0.37817914267545283</v>
      </c>
      <c r="AO26" s="1">
        <v>8.6545238933622301E-2</v>
      </c>
      <c r="AP26" s="1">
        <v>0.21161309254394609</v>
      </c>
      <c r="AQ26" s="1">
        <v>4.7485920265482838E-2</v>
      </c>
      <c r="AR26" s="1">
        <v>0.18990951584913746</v>
      </c>
      <c r="AS26" s="1">
        <v>7.7663039111550924E-2</v>
      </c>
      <c r="AT26" s="1">
        <v>0.22107545066587467</v>
      </c>
      <c r="AU26" s="1">
        <v>6.4920590910541601E-2</v>
      </c>
      <c r="AV26" s="1">
        <v>5.9456308478740311E-2</v>
      </c>
      <c r="AW26" s="1">
        <v>8.9977196345451274E-2</v>
      </c>
      <c r="AX26" s="1">
        <v>0.1114558970832679</v>
      </c>
      <c r="AY26" s="1">
        <v>8.9939410744032597E-2</v>
      </c>
      <c r="AZ26" s="1">
        <v>7.1033775788090239E-2</v>
      </c>
      <c r="BA26" s="1">
        <v>0.1777277844143737</v>
      </c>
      <c r="BB26" s="1">
        <v>3.8804624373515881E-2</v>
      </c>
    </row>
    <row r="28" spans="2:54" x14ac:dyDescent="0.25">
      <c r="D28" s="1">
        <f>D26/D25</f>
        <v>1.0028802107967911</v>
      </c>
      <c r="E28" s="1">
        <f t="shared" ref="E28:BB28" si="3">E26/E25</f>
        <v>1.0030038714325107</v>
      </c>
      <c r="F28" s="1">
        <f t="shared" si="3"/>
        <v>1.0030687569490631</v>
      </c>
      <c r="G28" s="1">
        <f t="shared" si="3"/>
        <v>1.0102529812203525</v>
      </c>
      <c r="H28" s="1">
        <f t="shared" si="3"/>
        <v>1.0054244358772038</v>
      </c>
      <c r="I28" s="1">
        <f t="shared" si="3"/>
        <v>1.0105675350177237</v>
      </c>
      <c r="J28" s="1">
        <f t="shared" si="3"/>
        <v>1.0042430128508764</v>
      </c>
      <c r="K28" s="1">
        <f t="shared" si="3"/>
        <v>1.0016890120424271</v>
      </c>
      <c r="L28" s="1">
        <f t="shared" si="3"/>
        <v>0.99930209157728778</v>
      </c>
      <c r="M28" s="1">
        <f t="shared" si="3"/>
        <v>1.0128465083644798</v>
      </c>
      <c r="N28" s="1">
        <f t="shared" si="3"/>
        <v>1.0033487463056534</v>
      </c>
      <c r="O28" s="1">
        <f t="shared" si="3"/>
        <v>1.0138642003666432</v>
      </c>
      <c r="P28" s="1">
        <f t="shared" si="3"/>
        <v>1.0155325981657255</v>
      </c>
      <c r="Q28" s="1">
        <f t="shared" si="3"/>
        <v>1.0020452594767999</v>
      </c>
      <c r="R28" s="1">
        <f t="shared" si="3"/>
        <v>1.0025861305698605</v>
      </c>
      <c r="S28" s="1">
        <f t="shared" si="3"/>
        <v>1.0199419425064429</v>
      </c>
      <c r="T28" s="1">
        <f t="shared" si="3"/>
        <v>1.0069621337519705</v>
      </c>
      <c r="U28" s="1">
        <f t="shared" si="3"/>
        <v>1.0193706500894955</v>
      </c>
      <c r="V28" s="1">
        <f t="shared" si="3"/>
        <v>1.0032098310065891</v>
      </c>
      <c r="W28" s="1">
        <f t="shared" si="3"/>
        <v>0.99932144397353162</v>
      </c>
      <c r="X28" s="1">
        <f t="shared" si="3"/>
        <v>1.0374248871258951</v>
      </c>
      <c r="Y28" s="1">
        <f t="shared" si="3"/>
        <v>1.0035915332148566</v>
      </c>
      <c r="Z28" s="1">
        <f t="shared" si="3"/>
        <v>1.0081690359696873</v>
      </c>
      <c r="AA28" s="1">
        <f t="shared" si="3"/>
        <v>1.0261864899945325</v>
      </c>
      <c r="AB28" s="1">
        <f t="shared" si="3"/>
        <v>0.99973498749733292</v>
      </c>
      <c r="AC28" s="1">
        <f t="shared" si="3"/>
        <v>0.99876526236318486</v>
      </c>
      <c r="AD28" s="1">
        <f t="shared" si="3"/>
        <v>0.99923537051423916</v>
      </c>
      <c r="AE28" s="1">
        <f t="shared" si="3"/>
        <v>1.0143423460762473</v>
      </c>
      <c r="AF28" s="1">
        <f t="shared" si="3"/>
        <v>1.0105552483724249</v>
      </c>
      <c r="AG28" s="1">
        <f t="shared" si="3"/>
        <v>1.0047071595073247</v>
      </c>
      <c r="AH28" s="1">
        <f t="shared" si="3"/>
        <v>1.0045374376203557</v>
      </c>
      <c r="AI28" s="1">
        <f t="shared" si="3"/>
        <v>0.77012712273152395</v>
      </c>
      <c r="AJ28" s="1">
        <f t="shared" si="3"/>
        <v>1.0076462112199989</v>
      </c>
      <c r="AK28" s="1">
        <f t="shared" si="3"/>
        <v>1.0106635120380523</v>
      </c>
      <c r="AL28" s="1">
        <f t="shared" si="3"/>
        <v>0.98009752321658694</v>
      </c>
      <c r="AM28" s="1">
        <f t="shared" si="3"/>
        <v>1.0030292232365385</v>
      </c>
      <c r="AN28" s="1">
        <f t="shared" si="3"/>
        <v>0.57154262475277928</v>
      </c>
      <c r="AO28" s="1">
        <f t="shared" si="3"/>
        <v>1.0052682972965767</v>
      </c>
      <c r="AP28" s="1">
        <f t="shared" si="3"/>
        <v>0.54121555792737464</v>
      </c>
      <c r="AQ28" s="1">
        <f t="shared" si="3"/>
        <v>1</v>
      </c>
      <c r="AR28" s="1">
        <f t="shared" si="3"/>
        <v>0.62832081217118174</v>
      </c>
      <c r="AS28" s="1">
        <f t="shared" si="3"/>
        <v>1.0045706630526365</v>
      </c>
      <c r="AT28" s="1">
        <f t="shared" si="3"/>
        <v>0.63449974409479348</v>
      </c>
      <c r="AU28" s="1">
        <f t="shared" si="3"/>
        <v>1.0218431002810291</v>
      </c>
      <c r="AV28" s="1">
        <f t="shared" si="3"/>
        <v>1.006453702622049</v>
      </c>
      <c r="AW28" s="1">
        <f t="shared" si="3"/>
        <v>1.0087196013702715</v>
      </c>
      <c r="AX28" s="1">
        <f t="shared" si="3"/>
        <v>1.0105413778978822</v>
      </c>
      <c r="AY28" s="1">
        <f t="shared" si="3"/>
        <v>1.0076913555377032</v>
      </c>
      <c r="AZ28" s="1">
        <f t="shared" si="3"/>
        <v>1.0009690848580339</v>
      </c>
      <c r="BA28" s="1">
        <f t="shared" si="3"/>
        <v>1.0092365007312105</v>
      </c>
      <c r="BB28" s="1">
        <f t="shared" si="3"/>
        <v>1.0461829162004523</v>
      </c>
    </row>
  </sheetData>
  <mergeCells count="4">
    <mergeCell ref="B4:B5"/>
    <mergeCell ref="B11:B12"/>
    <mergeCell ref="B18:B19"/>
    <mergeCell ref="B25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DB07-2E38-408E-86FC-18DAEBE048EC}">
  <dimension ref="B1:BB28"/>
  <sheetViews>
    <sheetView workbookViewId="0"/>
  </sheetViews>
  <sheetFormatPr defaultRowHeight="15" x14ac:dyDescent="0.25"/>
  <cols>
    <col min="1" max="2" width="9.140625" style="1"/>
    <col min="3" max="3" width="25.5703125" style="1" bestFit="1" customWidth="1"/>
    <col min="4" max="16384" width="9.140625" style="1"/>
  </cols>
  <sheetData>
    <row r="1" spans="2:54" s="1" customFormat="1" x14ac:dyDescent="0.25"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 spans="2:54" s="1" customFormat="1" x14ac:dyDescent="0.25">
      <c r="B2" s="2" t="s">
        <v>0</v>
      </c>
    </row>
    <row r="4" spans="2:54" s="1" customFormat="1" x14ac:dyDescent="0.25">
      <c r="B4" s="3" t="s">
        <v>2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s="1" customFormat="1" x14ac:dyDescent="0.25">
      <c r="B5" s="3"/>
      <c r="C5" s="1" t="s">
        <v>60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0.14063029030421531</v>
      </c>
      <c r="AJ5" s="1">
        <v>7.1969617619127429E-2</v>
      </c>
      <c r="AK5" s="1">
        <v>8.970814547919824E-2</v>
      </c>
      <c r="AL5" s="1">
        <v>6.9720147325487175E-2</v>
      </c>
      <c r="AM5" s="1">
        <v>0.16377815944444091</v>
      </c>
      <c r="AN5" s="1">
        <v>0.27122410205138958</v>
      </c>
      <c r="AO5" s="1">
        <v>7.2195491893629032E-2</v>
      </c>
      <c r="AP5" s="1">
        <v>0.17105498755844498</v>
      </c>
      <c r="AQ5" s="1">
        <v>5.3516549468204805E-2</v>
      </c>
      <c r="AR5" s="1">
        <v>5.8790801537981059E-2</v>
      </c>
      <c r="AS5" s="1">
        <v>0.1529292250864166</v>
      </c>
      <c r="AT5" s="1">
        <v>0.10493169410423531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s="1" customFormat="1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0.86953253382283169</v>
      </c>
      <c r="AJ7" s="1">
        <f t="shared" si="0"/>
        <v>1</v>
      </c>
      <c r="AK7" s="1">
        <f t="shared" si="0"/>
        <v>1</v>
      </c>
      <c r="AL7" s="1">
        <f t="shared" si="0"/>
        <v>0.92011143258762318</v>
      </c>
      <c r="AM7" s="1">
        <f t="shared" si="0"/>
        <v>1</v>
      </c>
      <c r="AN7" s="1">
        <f t="shared" si="0"/>
        <v>0.76844618042238266</v>
      </c>
      <c r="AO7" s="1">
        <f t="shared" si="0"/>
        <v>1</v>
      </c>
      <c r="AP7" s="1">
        <f t="shared" si="0"/>
        <v>0.75909127603465898</v>
      </c>
      <c r="AQ7" s="1">
        <f t="shared" si="0"/>
        <v>1</v>
      </c>
      <c r="AR7" s="1">
        <f t="shared" si="0"/>
        <v>0.59896196046377592</v>
      </c>
      <c r="AS7" s="1">
        <f t="shared" si="0"/>
        <v>1</v>
      </c>
      <c r="AT7" s="1">
        <f t="shared" si="0"/>
        <v>0.71300650763806972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s="1" customFormat="1" x14ac:dyDescent="0.25">
      <c r="B9" s="2" t="s">
        <v>4</v>
      </c>
    </row>
    <row r="11" spans="2:54" s="1" customFormat="1" x14ac:dyDescent="0.25">
      <c r="B11" s="3" t="s">
        <v>2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s="1" customFormat="1" x14ac:dyDescent="0.25">
      <c r="B12" s="3"/>
      <c r="C12" s="1" t="s">
        <v>60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0.19821592977299007</v>
      </c>
      <c r="M12" s="1">
        <v>0.19324553600147637</v>
      </c>
      <c r="N12" s="1">
        <v>0.12764033467260896</v>
      </c>
      <c r="O12" s="1">
        <v>8.7855382282867669E-2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0.17609463582036464</v>
      </c>
      <c r="AB12" s="1">
        <v>0.13116520147170757</v>
      </c>
      <c r="AC12" s="1">
        <v>0.13419130165977591</v>
      </c>
      <c r="AD12" s="1">
        <v>0.23901139254382639</v>
      </c>
      <c r="AE12" s="1">
        <v>4.1604393567144057E-2</v>
      </c>
      <c r="AF12" s="1">
        <v>0.19575047988511474</v>
      </c>
      <c r="AG12" s="1">
        <v>0.11826994435920803</v>
      </c>
      <c r="AH12" s="1">
        <v>6.3722526764350251E-2</v>
      </c>
      <c r="AI12" s="1">
        <v>0.15126060430339289</v>
      </c>
      <c r="AJ12" s="1">
        <v>6.8070626873731443E-2</v>
      </c>
      <c r="AK12" s="1">
        <v>8.7811355729438337E-2</v>
      </c>
      <c r="AL12" s="1">
        <v>7.6477428778750273E-2</v>
      </c>
      <c r="AM12" s="1">
        <v>0.13856481274568017</v>
      </c>
      <c r="AN12" s="1">
        <v>0.29244798751041812</v>
      </c>
      <c r="AO12" s="1">
        <v>6.9275873016285502E-2</v>
      </c>
      <c r="AP12" s="1">
        <v>0.17211575735394438</v>
      </c>
      <c r="AQ12" s="1">
        <v>4.7485920265482838E-2</v>
      </c>
      <c r="AR12" s="1">
        <v>8.7581615981374913E-2</v>
      </c>
      <c r="AS12" s="1">
        <v>0.11785031978505653</v>
      </c>
      <c r="AT12" s="1">
        <v>0.12986338388538107</v>
      </c>
      <c r="AU12" s="1">
        <v>3.0309976701879807E-2</v>
      </c>
      <c r="AV12" s="1">
        <v>9.3007144073045958E-2</v>
      </c>
      <c r="AW12" s="1">
        <v>0.1113388379319875</v>
      </c>
      <c r="AX12" s="1">
        <v>0.14429660030428873</v>
      </c>
      <c r="AY12" s="1">
        <v>7.9200447108417296E-2</v>
      </c>
      <c r="AZ12" s="1">
        <v>0.11655329696545856</v>
      </c>
      <c r="BA12" s="1">
        <v>8.3022619774237791E-2</v>
      </c>
      <c r="BB12" s="1">
        <v>4.0991719871745214E-2</v>
      </c>
    </row>
    <row r="14" spans="2:54" s="1" customFormat="1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1.0000223671018702</v>
      </c>
      <c r="M14" s="1">
        <f t="shared" si="1"/>
        <v>1</v>
      </c>
      <c r="N14" s="1">
        <f t="shared" si="1"/>
        <v>1</v>
      </c>
      <c r="O14" s="1">
        <f t="shared" si="1"/>
        <v>1.0000389534346206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0.99999950793897419</v>
      </c>
      <c r="AB14" s="1">
        <f t="shared" si="1"/>
        <v>1</v>
      </c>
      <c r="AC14" s="1">
        <f t="shared" si="1"/>
        <v>1</v>
      </c>
      <c r="AD14" s="1">
        <f t="shared" si="1"/>
        <v>1.0000960903031286</v>
      </c>
      <c r="AE14" s="1">
        <f t="shared" si="1"/>
        <v>1</v>
      </c>
      <c r="AF14" s="1">
        <f t="shared" si="1"/>
        <v>1</v>
      </c>
      <c r="AG14" s="1">
        <f t="shared" si="1"/>
        <v>1.0000720745717118</v>
      </c>
      <c r="AH14" s="1">
        <f t="shared" si="1"/>
        <v>1</v>
      </c>
      <c r="AI14" s="1">
        <f t="shared" si="1"/>
        <v>0.78186270334392549</v>
      </c>
      <c r="AJ14" s="1">
        <f t="shared" si="1"/>
        <v>1.0000182372085216</v>
      </c>
      <c r="AK14" s="1">
        <f t="shared" si="1"/>
        <v>1.000031288053232</v>
      </c>
      <c r="AL14" s="1">
        <f t="shared" si="1"/>
        <v>0.92110404339901319</v>
      </c>
      <c r="AM14" s="1">
        <f t="shared" si="1"/>
        <v>1.0000012287421842</v>
      </c>
      <c r="AN14" s="1">
        <f t="shared" si="1"/>
        <v>0.64147053974868962</v>
      </c>
      <c r="AO14" s="1">
        <f t="shared" si="1"/>
        <v>1.0000822207223106</v>
      </c>
      <c r="AP14" s="1">
        <f t="shared" si="1"/>
        <v>0.61347221289514331</v>
      </c>
      <c r="AQ14" s="1">
        <f t="shared" si="1"/>
        <v>1</v>
      </c>
      <c r="AR14" s="1">
        <f t="shared" si="1"/>
        <v>0.52700941791083022</v>
      </c>
      <c r="AS14" s="1">
        <f t="shared" si="1"/>
        <v>1</v>
      </c>
      <c r="AT14" s="1">
        <f t="shared" si="1"/>
        <v>0.60623667590937824</v>
      </c>
      <c r="AU14" s="1">
        <f t="shared" si="1"/>
        <v>1</v>
      </c>
      <c r="AV14" s="1">
        <f t="shared" si="1"/>
        <v>1</v>
      </c>
      <c r="AW14" s="1">
        <f t="shared" si="1"/>
        <v>1.0000021348897068</v>
      </c>
      <c r="AX14" s="1">
        <f t="shared" si="1"/>
        <v>1.0000387248710485</v>
      </c>
      <c r="AY14" s="1">
        <f t="shared" si="1"/>
        <v>1.0000664677012105</v>
      </c>
      <c r="AZ14" s="1">
        <f t="shared" si="1"/>
        <v>1</v>
      </c>
      <c r="BA14" s="1">
        <f t="shared" si="1"/>
        <v>1.0000434339357636</v>
      </c>
      <c r="BB14" s="1">
        <f t="shared" si="1"/>
        <v>1</v>
      </c>
    </row>
    <row r="16" spans="2:54" s="1" customFormat="1" x14ac:dyDescent="0.25">
      <c r="B16" s="2" t="s">
        <v>5</v>
      </c>
    </row>
    <row r="18" spans="2:54" s="1" customFormat="1" x14ac:dyDescent="0.25">
      <c r="B18" s="3" t="s">
        <v>2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s="1" customFormat="1" x14ac:dyDescent="0.25">
      <c r="B19" s="3"/>
      <c r="C19" s="1" t="s">
        <v>60</v>
      </c>
      <c r="D19" s="1">
        <v>0.15293490353373024</v>
      </c>
      <c r="E19" s="1">
        <v>0.12019993202424784</v>
      </c>
      <c r="F19" s="1">
        <v>0.10061852699837119</v>
      </c>
      <c r="G19" s="1">
        <v>8.6769886402404905E-2</v>
      </c>
      <c r="H19" s="1">
        <v>6.8203513008241554E-2</v>
      </c>
      <c r="I19" s="1">
        <v>0.12770255031951841</v>
      </c>
      <c r="J19" s="1">
        <v>0.11062866373402996</v>
      </c>
      <c r="K19" s="1">
        <v>0.1083646164019041</v>
      </c>
      <c r="L19" s="1">
        <v>0.14992688029120371</v>
      </c>
      <c r="M19" s="1">
        <v>0.11316996800143131</v>
      </c>
      <c r="N19" s="1">
        <v>8.4871385651530323E-2</v>
      </c>
      <c r="O19" s="1">
        <v>8.8732878492527617E-2</v>
      </c>
      <c r="P19" s="1">
        <v>0.12598645383792556</v>
      </c>
      <c r="Q19" s="1">
        <v>0.14919281000905199</v>
      </c>
      <c r="R19" s="1">
        <v>0.10111071651862956</v>
      </c>
      <c r="S19" s="1">
        <v>8.533431106325963E-2</v>
      </c>
      <c r="T19" s="1">
        <v>0.11319067341747191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9.4632390037182351E-2</v>
      </c>
      <c r="AA19" s="1">
        <v>0.16313083163663075</v>
      </c>
      <c r="AB19" s="1">
        <v>8.4474615730185207E-2</v>
      </c>
      <c r="AC19" s="1">
        <v>9.7888831186374051E-2</v>
      </c>
      <c r="AD19" s="1">
        <v>0.17147786766658882</v>
      </c>
      <c r="AE19" s="1">
        <v>4.1120798839840461E-2</v>
      </c>
      <c r="AF19" s="1">
        <v>0.1086257166130794</v>
      </c>
      <c r="AG19" s="1">
        <v>9.7809701911816413E-2</v>
      </c>
      <c r="AH19" s="1">
        <v>6.467868266238512E-2</v>
      </c>
      <c r="AI19" s="1">
        <v>0.16192945492755051</v>
      </c>
      <c r="AJ19" s="1">
        <v>7.2278647530553852E-2</v>
      </c>
      <c r="AK19" s="1">
        <v>9.204124030393887E-2</v>
      </c>
      <c r="AL19" s="1">
        <v>9.042560529171903E-2</v>
      </c>
      <c r="AM19" s="1">
        <v>0.11861593337717534</v>
      </c>
      <c r="AN19" s="1">
        <v>0.31367208956180764</v>
      </c>
      <c r="AO19" s="1">
        <v>7.3881928031243077E-2</v>
      </c>
      <c r="AP19" s="1">
        <v>0.17762391204069655</v>
      </c>
      <c r="AQ19" s="1">
        <v>4.7485920265482838E-2</v>
      </c>
      <c r="AR19" s="1">
        <v>0.11637243042476876</v>
      </c>
      <c r="AS19" s="1">
        <v>9.1509082602146283E-2</v>
      </c>
      <c r="AT19" s="1">
        <v>0.1547950952819746</v>
      </c>
      <c r="AU19" s="1">
        <v>4.3685351705869215E-2</v>
      </c>
      <c r="AV19" s="1">
        <v>6.7858948786937989E-2</v>
      </c>
      <c r="AW19" s="1">
        <v>9.3616813465327881E-2</v>
      </c>
      <c r="AX19" s="1">
        <v>0.12207828125592199</v>
      </c>
      <c r="AY19" s="1">
        <v>7.9502591885762072E-2</v>
      </c>
      <c r="AZ19" s="1">
        <v>9.0497270686884318E-2</v>
      </c>
      <c r="BA19" s="1">
        <v>0.11287154104998488</v>
      </c>
      <c r="BB19" s="1">
        <v>3.1487575479949265E-2</v>
      </c>
    </row>
    <row r="21" spans="2:54" s="1" customFormat="1" x14ac:dyDescent="0.25">
      <c r="D21" s="1">
        <f>D19/D18</f>
        <v>1</v>
      </c>
      <c r="E21" s="1">
        <f t="shared" ref="E21:BB21" si="2">E19/E18</f>
        <v>1</v>
      </c>
      <c r="F21" s="1">
        <f t="shared" si="2"/>
        <v>1.0000958392039618</v>
      </c>
      <c r="G21" s="1">
        <f t="shared" si="2"/>
        <v>0.99996979458319513</v>
      </c>
      <c r="H21" s="1">
        <f t="shared" si="2"/>
        <v>1.0000403348363089</v>
      </c>
      <c r="I21" s="1">
        <f t="shared" si="2"/>
        <v>1.0000023750760874</v>
      </c>
      <c r="J21" s="1">
        <f t="shared" si="2"/>
        <v>1</v>
      </c>
      <c r="K21" s="1">
        <f t="shared" si="2"/>
        <v>1</v>
      </c>
      <c r="L21" s="1">
        <f t="shared" si="2"/>
        <v>1.0000102793837946</v>
      </c>
      <c r="M21" s="1">
        <f t="shared" si="2"/>
        <v>1</v>
      </c>
      <c r="N21" s="1">
        <f t="shared" si="2"/>
        <v>1</v>
      </c>
      <c r="O21" s="1">
        <f t="shared" si="2"/>
        <v>1.0000349065359193</v>
      </c>
      <c r="P21" s="1">
        <f t="shared" si="2"/>
        <v>1</v>
      </c>
      <c r="Q21" s="1">
        <f t="shared" si="2"/>
        <v>1</v>
      </c>
      <c r="R21" s="1">
        <f t="shared" si="2"/>
        <v>1</v>
      </c>
      <c r="S21" s="1">
        <f t="shared" si="2"/>
        <v>1</v>
      </c>
      <c r="T21" s="1">
        <f t="shared" si="2"/>
        <v>1.0000645810492166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</v>
      </c>
      <c r="AA21" s="1">
        <f t="shared" si="2"/>
        <v>0.999952994127984</v>
      </c>
      <c r="AB21" s="1">
        <f t="shared" si="2"/>
        <v>1</v>
      </c>
      <c r="AC21" s="1">
        <f t="shared" si="2"/>
        <v>1</v>
      </c>
      <c r="AD21" s="1">
        <f t="shared" si="2"/>
        <v>1.0000242579591374</v>
      </c>
      <c r="AE21" s="1">
        <f t="shared" si="2"/>
        <v>1</v>
      </c>
      <c r="AF21" s="1">
        <f t="shared" si="2"/>
        <v>1</v>
      </c>
      <c r="AG21" s="1">
        <f t="shared" si="2"/>
        <v>1</v>
      </c>
      <c r="AH21" s="1">
        <f t="shared" si="2"/>
        <v>0.99995311403203258</v>
      </c>
      <c r="AI21" s="1">
        <f t="shared" si="2"/>
        <v>0.71946386511352356</v>
      </c>
      <c r="AJ21" s="1">
        <f t="shared" si="2"/>
        <v>1</v>
      </c>
      <c r="AK21" s="1">
        <f t="shared" si="2"/>
        <v>1.0000017558403089</v>
      </c>
      <c r="AL21" s="1">
        <f t="shared" si="2"/>
        <v>0.93186099882020734</v>
      </c>
      <c r="AM21" s="1">
        <f t="shared" si="2"/>
        <v>1</v>
      </c>
      <c r="AN21" s="1">
        <f t="shared" si="2"/>
        <v>0.56127757043031379</v>
      </c>
      <c r="AO21" s="1">
        <f t="shared" si="2"/>
        <v>1.0000017586751782</v>
      </c>
      <c r="AP21" s="1">
        <f t="shared" si="2"/>
        <v>0.52899215406792066</v>
      </c>
      <c r="AQ21" s="1">
        <f t="shared" si="2"/>
        <v>1</v>
      </c>
      <c r="AR21" s="1">
        <f t="shared" si="2"/>
        <v>0.49685617125849574</v>
      </c>
      <c r="AS21" s="1">
        <f t="shared" si="2"/>
        <v>1</v>
      </c>
      <c r="AT21" s="1">
        <f t="shared" si="2"/>
        <v>0.5503693559096946</v>
      </c>
      <c r="AU21" s="1">
        <f t="shared" si="2"/>
        <v>0.99899054957345834</v>
      </c>
      <c r="AV21" s="1">
        <f t="shared" si="2"/>
        <v>1</v>
      </c>
      <c r="AW21" s="1">
        <f t="shared" si="2"/>
        <v>1.0000168501914113</v>
      </c>
      <c r="AX21" s="1">
        <f t="shared" si="2"/>
        <v>1.0000289182037077</v>
      </c>
      <c r="AY21" s="1">
        <f t="shared" si="2"/>
        <v>1.0000051769946348</v>
      </c>
      <c r="AZ21" s="1">
        <f t="shared" si="2"/>
        <v>1.0000016654607939</v>
      </c>
      <c r="BA21" s="1">
        <f t="shared" si="2"/>
        <v>0.99943820224719104</v>
      </c>
      <c r="BB21" s="1">
        <f t="shared" si="2"/>
        <v>1</v>
      </c>
    </row>
    <row r="23" spans="2:54" s="1" customFormat="1" x14ac:dyDescent="0.25">
      <c r="B23" s="2" t="s">
        <v>3</v>
      </c>
    </row>
    <row r="25" spans="2:54" s="1" customFormat="1" x14ac:dyDescent="0.25">
      <c r="B25" s="3" t="s">
        <v>2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s="1" customFormat="1" x14ac:dyDescent="0.25">
      <c r="B26" s="3"/>
      <c r="C26" s="1" t="s">
        <v>60</v>
      </c>
      <c r="D26" s="1">
        <v>0.13086743115760607</v>
      </c>
      <c r="E26" s="1">
        <v>8.4223982943577289E-2</v>
      </c>
      <c r="F26" s="1">
        <v>6.0343722148806046E-2</v>
      </c>
      <c r="G26" s="1">
        <v>8.7487282194378971E-2</v>
      </c>
      <c r="H26" s="1">
        <v>6.4590087306440253E-2</v>
      </c>
      <c r="I26" s="1">
        <v>8.8353333609194229E-2</v>
      </c>
      <c r="J26" s="1">
        <v>6.7508297256279257E-2</v>
      </c>
      <c r="K26" s="1">
        <v>0.10852920359379464</v>
      </c>
      <c r="L26" s="1">
        <v>0.11386236521093669</v>
      </c>
      <c r="M26" s="1">
        <v>7.1924694521211696E-2</v>
      </c>
      <c r="N26" s="1">
        <v>6.4795098809813559E-2</v>
      </c>
      <c r="O26" s="1">
        <v>9.2290340047649994E-2</v>
      </c>
      <c r="P26" s="1">
        <v>7.5440761283857724E-2</v>
      </c>
      <c r="Q26" s="1">
        <v>8.1638700444028087E-2</v>
      </c>
      <c r="R26" s="1">
        <v>8.1332111034428875E-2</v>
      </c>
      <c r="S26" s="1">
        <v>6.8093827411893279E-2</v>
      </c>
      <c r="T26" s="1">
        <v>0.10864295300416217</v>
      </c>
      <c r="U26" s="1">
        <v>6.3361208868915955E-2</v>
      </c>
      <c r="V26" s="1">
        <v>3.9565482687386973E-2</v>
      </c>
      <c r="W26" s="1">
        <v>8.2217860936612777E-2</v>
      </c>
      <c r="X26" s="1">
        <v>6.9731866395882192E-2</v>
      </c>
      <c r="Y26" s="1">
        <v>5.2247895745994602E-2</v>
      </c>
      <c r="Z26" s="1">
        <v>8.9812075389586327E-2</v>
      </c>
      <c r="AA26" s="1">
        <v>0.17781423549170364</v>
      </c>
      <c r="AB26" s="1">
        <v>5.6781001404039876E-2</v>
      </c>
      <c r="AC26" s="1">
        <v>9.0253922574385553E-2</v>
      </c>
      <c r="AD26" s="1">
        <v>0.13238785430819966</v>
      </c>
      <c r="AE26" s="1">
        <v>5.7049385614437544E-2</v>
      </c>
      <c r="AF26" s="1">
        <v>5.9950332399601305E-2</v>
      </c>
      <c r="AG26" s="1">
        <v>8.5812174835903879E-2</v>
      </c>
      <c r="AH26" s="1">
        <v>7.4019983528297584E-2</v>
      </c>
      <c r="AI26" s="1">
        <v>0.17417524837167142</v>
      </c>
      <c r="AJ26" s="1">
        <v>8.7281475584852497E-2</v>
      </c>
      <c r="AK26" s="1">
        <v>0.10622018558419589</v>
      </c>
      <c r="AL26" s="1">
        <v>0.10548832777922579</v>
      </c>
      <c r="AM26" s="1">
        <v>0.10571557178703</v>
      </c>
      <c r="AN26" s="1">
        <v>0.33489619161319722</v>
      </c>
      <c r="AO26" s="1">
        <v>8.5525213059414962E-2</v>
      </c>
      <c r="AP26" s="1">
        <v>0.18713025625921748</v>
      </c>
      <c r="AQ26" s="1">
        <v>4.7485920265482838E-2</v>
      </c>
      <c r="AR26" s="1">
        <v>0.14516324486816259</v>
      </c>
      <c r="AS26" s="1">
        <v>7.6757783848953667E-2</v>
      </c>
      <c r="AT26" s="1">
        <v>0.17972678506312034</v>
      </c>
      <c r="AU26" s="1">
        <v>5.9370033191842468E-2</v>
      </c>
      <c r="AV26" s="1">
        <v>5.8576170892283473E-2</v>
      </c>
      <c r="AW26" s="1">
        <v>8.8522261384378256E-2</v>
      </c>
      <c r="AX26" s="1">
        <v>0.11016411017201518</v>
      </c>
      <c r="AY26" s="1">
        <v>8.8700981082374966E-2</v>
      </c>
      <c r="AZ26" s="1">
        <v>7.0711322386224074E-2</v>
      </c>
      <c r="BA26" s="1">
        <v>0.159772977775653</v>
      </c>
      <c r="BB26" s="1">
        <v>3.6960280225194563E-2</v>
      </c>
    </row>
    <row r="28" spans="2:54" s="1" customFormat="1" x14ac:dyDescent="0.25">
      <c r="D28" s="1">
        <f>D26/D25</f>
        <v>0.99903998482220802</v>
      </c>
      <c r="E28" s="1">
        <f t="shared" ref="E28:BB28" si="3">E26/E25</f>
        <v>0.99638863421066848</v>
      </c>
      <c r="F28" s="1">
        <f t="shared" si="3"/>
        <v>0.99544930435700119</v>
      </c>
      <c r="G28" s="1">
        <f t="shared" si="3"/>
        <v>0.98997815818416102</v>
      </c>
      <c r="H28" s="1">
        <f t="shared" si="3"/>
        <v>0.98696599640952587</v>
      </c>
      <c r="I28" s="1">
        <f t="shared" si="3"/>
        <v>0.99506257905338935</v>
      </c>
      <c r="J28" s="1">
        <f t="shared" si="3"/>
        <v>0.9981587525580391</v>
      </c>
      <c r="K28" s="1">
        <f t="shared" si="3"/>
        <v>0.99880986318042375</v>
      </c>
      <c r="L28" s="1">
        <f t="shared" si="3"/>
        <v>0.99869584265822187</v>
      </c>
      <c r="M28" s="1">
        <f t="shared" si="3"/>
        <v>0.99822336162226633</v>
      </c>
      <c r="N28" s="1">
        <f t="shared" si="3"/>
        <v>0.99247991180015205</v>
      </c>
      <c r="O28" s="1">
        <f t="shared" si="3"/>
        <v>0.97973368355970902</v>
      </c>
      <c r="P28" s="1">
        <f t="shared" si="3"/>
        <v>0.99848381215848914</v>
      </c>
      <c r="Q28" s="1">
        <f t="shared" si="3"/>
        <v>0.99485229765937278</v>
      </c>
      <c r="R28" s="1">
        <f t="shared" si="3"/>
        <v>0.99327368185968812</v>
      </c>
      <c r="S28" s="1">
        <f t="shared" si="3"/>
        <v>0.99809830272962941</v>
      </c>
      <c r="T28" s="1">
        <f t="shared" si="3"/>
        <v>0.99885247281948841</v>
      </c>
      <c r="U28" s="1">
        <f t="shared" si="3"/>
        <v>0.99796545486422095</v>
      </c>
      <c r="V28" s="1">
        <f t="shared" si="3"/>
        <v>0.98788430763106905</v>
      </c>
      <c r="W28" s="1">
        <f t="shared" si="3"/>
        <v>0.99812359022889818</v>
      </c>
      <c r="X28" s="1">
        <f t="shared" si="3"/>
        <v>0.99763334040990714</v>
      </c>
      <c r="Y28" s="1">
        <f t="shared" si="3"/>
        <v>0.99761226333608</v>
      </c>
      <c r="Z28" s="1">
        <f t="shared" si="3"/>
        <v>0.98833433420337802</v>
      </c>
      <c r="AA28" s="1">
        <f t="shared" si="3"/>
        <v>0.99620206693289659</v>
      </c>
      <c r="AB28" s="1">
        <f t="shared" si="3"/>
        <v>0.99527609518884619</v>
      </c>
      <c r="AC28" s="1">
        <f t="shared" si="3"/>
        <v>0.99863112985559677</v>
      </c>
      <c r="AD28" s="1">
        <f t="shared" si="3"/>
        <v>0.99903624314334816</v>
      </c>
      <c r="AE28" s="1">
        <f t="shared" si="3"/>
        <v>0.96786732466413949</v>
      </c>
      <c r="AF28" s="1">
        <f t="shared" si="3"/>
        <v>0.99791848746990108</v>
      </c>
      <c r="AG28" s="1">
        <f t="shared" si="3"/>
        <v>0.9955999261408206</v>
      </c>
      <c r="AH28" s="1">
        <f t="shared" si="3"/>
        <v>0.9883156932058178</v>
      </c>
      <c r="AI28" s="1">
        <f t="shared" si="3"/>
        <v>0.67825089858281851</v>
      </c>
      <c r="AJ28" s="1">
        <f t="shared" si="3"/>
        <v>0.99202243752827413</v>
      </c>
      <c r="AK28" s="1">
        <f t="shared" si="3"/>
        <v>0.99429005161191264</v>
      </c>
      <c r="AL28" s="1">
        <f t="shared" si="3"/>
        <v>0.93048964220954322</v>
      </c>
      <c r="AM28" s="1">
        <f t="shared" si="3"/>
        <v>0.99773887898854763</v>
      </c>
      <c r="AN28" s="1">
        <f t="shared" si="3"/>
        <v>0.50612904514033241</v>
      </c>
      <c r="AO28" s="1">
        <f t="shared" si="3"/>
        <v>0.99342016230501096</v>
      </c>
      <c r="AP28" s="1">
        <f t="shared" si="3"/>
        <v>0.47859896015362297</v>
      </c>
      <c r="AQ28" s="1">
        <f t="shared" si="3"/>
        <v>1</v>
      </c>
      <c r="AR28" s="1">
        <f t="shared" si="3"/>
        <v>0.48027655436404665</v>
      </c>
      <c r="AS28" s="1">
        <f t="shared" si="3"/>
        <v>0.99286119494808545</v>
      </c>
      <c r="AT28" s="1">
        <f t="shared" si="3"/>
        <v>0.51582660483583298</v>
      </c>
      <c r="AU28" s="1">
        <f t="shared" si="3"/>
        <v>0.93447792032787891</v>
      </c>
      <c r="AV28" s="1">
        <f t="shared" si="3"/>
        <v>0.99155506940093241</v>
      </c>
      <c r="AW28" s="1">
        <f t="shared" si="3"/>
        <v>0.99240856397899102</v>
      </c>
      <c r="AX28" s="1">
        <f t="shared" si="3"/>
        <v>0.99882908487966249</v>
      </c>
      <c r="AY28" s="1">
        <f t="shared" si="3"/>
        <v>0.99381584919215282</v>
      </c>
      <c r="AZ28" s="1">
        <f t="shared" si="3"/>
        <v>0.99642524802837951</v>
      </c>
      <c r="BA28" s="1">
        <f t="shared" si="3"/>
        <v>0.90727919403841129</v>
      </c>
      <c r="BB28" s="1">
        <f t="shared" si="3"/>
        <v>0.99645891111808571</v>
      </c>
    </row>
  </sheetData>
  <mergeCells count="4">
    <mergeCell ref="B4:B5"/>
    <mergeCell ref="B11:B12"/>
    <mergeCell ref="B18:B19"/>
    <mergeCell ref="B25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4F63-922A-4878-996B-3BE3FE77A8E2}">
  <dimension ref="B1:BB28"/>
  <sheetViews>
    <sheetView workbookViewId="0"/>
  </sheetViews>
  <sheetFormatPr defaultRowHeight="15" x14ac:dyDescent="0.25"/>
  <cols>
    <col min="1" max="2" width="9.140625" style="1"/>
    <col min="3" max="3" width="20.28515625" style="1" bestFit="1" customWidth="1"/>
    <col min="4" max="16384" width="9.140625" style="1"/>
  </cols>
  <sheetData>
    <row r="1" spans="2:54" s="1" customFormat="1" x14ac:dyDescent="0.25"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 spans="2:54" s="1" customFormat="1" x14ac:dyDescent="0.25">
      <c r="B2" s="2" t="s">
        <v>0</v>
      </c>
    </row>
    <row r="4" spans="2:54" s="1" customFormat="1" x14ac:dyDescent="0.25">
      <c r="B4" s="3" t="s">
        <v>2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s="1" customFormat="1" x14ac:dyDescent="0.25">
      <c r="B5" s="3"/>
      <c r="C5" s="1" t="s">
        <v>61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0.13642299126495988</v>
      </c>
      <c r="AJ5" s="1">
        <v>7.1969617619127429E-2</v>
      </c>
      <c r="AK5" s="1">
        <v>8.970814547919824E-2</v>
      </c>
      <c r="AL5" s="1">
        <v>6.8717249334055014E-2</v>
      </c>
      <c r="AM5" s="1">
        <v>0.16377815944444091</v>
      </c>
      <c r="AN5" s="1">
        <v>0.26350583326546773</v>
      </c>
      <c r="AO5" s="1">
        <v>7.2195491893629032E-2</v>
      </c>
      <c r="AP5" s="1">
        <v>0.16669152090159586</v>
      </c>
      <c r="AQ5" s="1">
        <v>5.3516549468204805E-2</v>
      </c>
      <c r="AR5" s="1">
        <v>5.0811578392209261E-2</v>
      </c>
      <c r="AS5" s="1">
        <v>0.1529292250864166</v>
      </c>
      <c r="AT5" s="1">
        <v>9.7558340633950816E-2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s="1" customFormat="1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0.84351834167233386</v>
      </c>
      <c r="AJ7" s="1">
        <f t="shared" si="0"/>
        <v>1</v>
      </c>
      <c r="AK7" s="1">
        <f t="shared" si="0"/>
        <v>1</v>
      </c>
      <c r="AL7" s="1">
        <f t="shared" si="0"/>
        <v>0.90687597708395185</v>
      </c>
      <c r="AM7" s="1">
        <f t="shared" si="0"/>
        <v>1</v>
      </c>
      <c r="AN7" s="1">
        <f t="shared" si="0"/>
        <v>0.74657838134716936</v>
      </c>
      <c r="AO7" s="1">
        <f t="shared" si="0"/>
        <v>1</v>
      </c>
      <c r="AP7" s="1">
        <f t="shared" si="0"/>
        <v>0.73972750582392155</v>
      </c>
      <c r="AQ7" s="1">
        <f t="shared" si="0"/>
        <v>1</v>
      </c>
      <c r="AR7" s="1">
        <f t="shared" si="0"/>
        <v>0.51766946209084874</v>
      </c>
      <c r="AS7" s="1">
        <f t="shared" si="0"/>
        <v>1</v>
      </c>
      <c r="AT7" s="1">
        <f t="shared" si="0"/>
        <v>0.66290487674086696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s="1" customFormat="1" x14ac:dyDescent="0.25">
      <c r="B9" s="2" t="s">
        <v>4</v>
      </c>
    </row>
    <row r="11" spans="2:54" s="1" customFormat="1" x14ac:dyDescent="0.25">
      <c r="B11" s="3" t="s">
        <v>2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s="1" customFormat="1" x14ac:dyDescent="0.25">
      <c r="B12" s="3"/>
      <c r="C12" s="1" t="s">
        <v>61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0.19822089097742696</v>
      </c>
      <c r="M12" s="1">
        <v>0.19324553600147637</v>
      </c>
      <c r="N12" s="1">
        <v>0.12764033467260896</v>
      </c>
      <c r="O12" s="1">
        <v>8.7855988737275292E-2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0.17609903327486667</v>
      </c>
      <c r="AB12" s="1">
        <v>0.13116520147170757</v>
      </c>
      <c r="AC12" s="1">
        <v>0.13419130165977591</v>
      </c>
      <c r="AD12" s="1">
        <v>0.23900012695452558</v>
      </c>
      <c r="AE12" s="1">
        <v>4.1604393567144057E-2</v>
      </c>
      <c r="AF12" s="1">
        <v>0.19575047988511474</v>
      </c>
      <c r="AG12" s="1">
        <v>0.11827244377280714</v>
      </c>
      <c r="AH12" s="1">
        <v>6.3722526764350251E-2</v>
      </c>
      <c r="AI12" s="1">
        <v>0.142846006224882</v>
      </c>
      <c r="AJ12" s="1">
        <v>6.807093722262568E-2</v>
      </c>
      <c r="AK12" s="1">
        <v>8.7811355729438337E-2</v>
      </c>
      <c r="AL12" s="1">
        <v>7.4476295538829368E-2</v>
      </c>
      <c r="AM12" s="1">
        <v>0.13856481274568017</v>
      </c>
      <c r="AN12" s="1">
        <v>0.27701144993857441</v>
      </c>
      <c r="AO12" s="1">
        <v>6.9276392752623261E-2</v>
      </c>
      <c r="AP12" s="1">
        <v>0.16338884569656467</v>
      </c>
      <c r="AQ12" s="1">
        <v>4.7485920265482838E-2</v>
      </c>
      <c r="AR12" s="1">
        <v>7.1623169689831304E-2</v>
      </c>
      <c r="AS12" s="1">
        <v>0.11785031978505653</v>
      </c>
      <c r="AT12" s="1">
        <v>0.1151166553293643</v>
      </c>
      <c r="AU12" s="1">
        <v>3.0309976701879807E-2</v>
      </c>
      <c r="AV12" s="1">
        <v>9.3007144073045958E-2</v>
      </c>
      <c r="AW12" s="1">
        <v>0.11133911884500668</v>
      </c>
      <c r="AX12" s="1">
        <v>0.14429521422035485</v>
      </c>
      <c r="AY12" s="1">
        <v>7.9201053650843858E-2</v>
      </c>
      <c r="AZ12" s="1">
        <v>0.11655329696545856</v>
      </c>
      <c r="BA12" s="1">
        <v>8.3022275396019751E-2</v>
      </c>
      <c r="BB12" s="1">
        <v>4.0991719871745214E-2</v>
      </c>
    </row>
    <row r="14" spans="2:54" s="1" customFormat="1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1.0000473969539629</v>
      </c>
      <c r="M14" s="1">
        <f t="shared" si="1"/>
        <v>1</v>
      </c>
      <c r="N14" s="1">
        <f t="shared" si="1"/>
        <v>1</v>
      </c>
      <c r="O14" s="1">
        <f t="shared" si="1"/>
        <v>1.0000458565749331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1.0000244800360385</v>
      </c>
      <c r="AB14" s="1">
        <f t="shared" si="1"/>
        <v>1</v>
      </c>
      <c r="AC14" s="1">
        <f t="shared" si="1"/>
        <v>1</v>
      </c>
      <c r="AD14" s="1">
        <f t="shared" si="1"/>
        <v>1.000048951663858</v>
      </c>
      <c r="AE14" s="1">
        <f t="shared" si="1"/>
        <v>1</v>
      </c>
      <c r="AF14" s="1">
        <f t="shared" si="1"/>
        <v>1</v>
      </c>
      <c r="AG14" s="1">
        <f t="shared" si="1"/>
        <v>1.0000932092205594</v>
      </c>
      <c r="AH14" s="1">
        <f t="shared" si="1"/>
        <v>1</v>
      </c>
      <c r="AI14" s="1">
        <f t="shared" si="1"/>
        <v>0.73836783280895735</v>
      </c>
      <c r="AJ14" s="1">
        <f t="shared" si="1"/>
        <v>1.0000227965106521</v>
      </c>
      <c r="AK14" s="1">
        <f t="shared" si="1"/>
        <v>1.000031288053232</v>
      </c>
      <c r="AL14" s="1">
        <f t="shared" si="1"/>
        <v>0.89700213584137478</v>
      </c>
      <c r="AM14" s="1">
        <f t="shared" si="1"/>
        <v>1.0000012287421842</v>
      </c>
      <c r="AN14" s="1">
        <f t="shared" si="1"/>
        <v>0.60761123993829602</v>
      </c>
      <c r="AO14" s="1">
        <f t="shared" si="1"/>
        <v>1.0000897237540043</v>
      </c>
      <c r="AP14" s="1">
        <f t="shared" si="1"/>
        <v>0.58236688071347908</v>
      </c>
      <c r="AQ14" s="1">
        <f t="shared" si="1"/>
        <v>1</v>
      </c>
      <c r="AR14" s="1">
        <f t="shared" si="1"/>
        <v>0.43098182814066471</v>
      </c>
      <c r="AS14" s="1">
        <f t="shared" si="1"/>
        <v>1</v>
      </c>
      <c r="AT14" s="1">
        <f t="shared" si="1"/>
        <v>0.53739504070119615</v>
      </c>
      <c r="AU14" s="1">
        <f t="shared" si="1"/>
        <v>1</v>
      </c>
      <c r="AV14" s="1">
        <f t="shared" si="1"/>
        <v>1</v>
      </c>
      <c r="AW14" s="1">
        <f t="shared" si="1"/>
        <v>1.0000046579411783</v>
      </c>
      <c r="AX14" s="1">
        <f t="shared" si="1"/>
        <v>1.000029118701486</v>
      </c>
      <c r="AY14" s="1">
        <f t="shared" si="1"/>
        <v>1.0000741265309796</v>
      </c>
      <c r="AZ14" s="1">
        <f t="shared" si="1"/>
        <v>1</v>
      </c>
      <c r="BA14" s="1">
        <f t="shared" si="1"/>
        <v>1.0000392857508873</v>
      </c>
      <c r="BB14" s="1">
        <f t="shared" si="1"/>
        <v>1</v>
      </c>
    </row>
    <row r="16" spans="2:54" s="1" customFormat="1" x14ac:dyDescent="0.25">
      <c r="B16" s="2" t="s">
        <v>5</v>
      </c>
    </row>
    <row r="18" spans="2:54" s="1" customFormat="1" x14ac:dyDescent="0.25">
      <c r="B18" s="3" t="s">
        <v>2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s="1" customFormat="1" x14ac:dyDescent="0.25">
      <c r="B19" s="3"/>
      <c r="C19" s="1" t="s">
        <v>61</v>
      </c>
      <c r="D19" s="1">
        <v>0.15293490353373024</v>
      </c>
      <c r="E19" s="1">
        <v>0.12019993202424784</v>
      </c>
      <c r="F19" s="1">
        <v>0.10061868066013092</v>
      </c>
      <c r="G19" s="1">
        <v>8.6769756435474993E-2</v>
      </c>
      <c r="H19" s="1">
        <v>6.8203837913742793E-2</v>
      </c>
      <c r="I19" s="1">
        <v>0.12770309193122051</v>
      </c>
      <c r="J19" s="1">
        <v>0.11062866373402996</v>
      </c>
      <c r="K19" s="1">
        <v>0.1083646164019041</v>
      </c>
      <c r="L19" s="1">
        <v>0.14992533915110204</v>
      </c>
      <c r="M19" s="1">
        <v>0.11316996800143131</v>
      </c>
      <c r="N19" s="1">
        <v>8.4871385651530323E-2</v>
      </c>
      <c r="O19" s="1">
        <v>8.80899935022742E-2</v>
      </c>
      <c r="P19" s="1">
        <v>0.12598645383792556</v>
      </c>
      <c r="Q19" s="1">
        <v>0.14919281000905199</v>
      </c>
      <c r="R19" s="1">
        <v>0.10111091129005556</v>
      </c>
      <c r="S19" s="1">
        <v>8.533431106325963E-2</v>
      </c>
      <c r="T19" s="1">
        <v>0.11319415817928845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9.4632583169939444E-2</v>
      </c>
      <c r="AA19" s="1">
        <v>0.16313414597426038</v>
      </c>
      <c r="AB19" s="1">
        <v>8.4474615730185207E-2</v>
      </c>
      <c r="AC19" s="1">
        <v>9.7888831186374051E-2</v>
      </c>
      <c r="AD19" s="1">
        <v>0.17147795432496807</v>
      </c>
      <c r="AE19" s="1">
        <v>4.1120798839840461E-2</v>
      </c>
      <c r="AF19" s="1">
        <v>0.1086257166130794</v>
      </c>
      <c r="AG19" s="1">
        <v>9.7809701911816413E-2</v>
      </c>
      <c r="AH19" s="1">
        <v>6.467868266238512E-2</v>
      </c>
      <c r="AI19" s="1">
        <v>0.14930755780978416</v>
      </c>
      <c r="AJ19" s="1">
        <v>7.2278647530553852E-2</v>
      </c>
      <c r="AK19" s="1">
        <v>9.204124030393887E-2</v>
      </c>
      <c r="AL19" s="1">
        <v>8.713181789173971E-2</v>
      </c>
      <c r="AM19" s="1">
        <v>0.11861593337717534</v>
      </c>
      <c r="AN19" s="1">
        <v>0.29051728320404213</v>
      </c>
      <c r="AO19" s="1">
        <v>7.3881928031243077E-2</v>
      </c>
      <c r="AP19" s="1">
        <v>0.16453448660448416</v>
      </c>
      <c r="AQ19" s="1">
        <v>4.7485920265482838E-2</v>
      </c>
      <c r="AR19" s="1">
        <v>9.2434739478432046E-2</v>
      </c>
      <c r="AS19" s="1">
        <v>9.1509082602146283E-2</v>
      </c>
      <c r="AT19" s="1">
        <v>0.13267499164022556</v>
      </c>
      <c r="AU19" s="1">
        <v>4.0980196597836145E-2</v>
      </c>
      <c r="AV19" s="1">
        <v>6.7858948786937989E-2</v>
      </c>
      <c r="AW19" s="1">
        <v>9.3615236030681753E-2</v>
      </c>
      <c r="AX19" s="1">
        <v>0.12207828125592199</v>
      </c>
      <c r="AY19" s="1">
        <v>7.9502591885762072E-2</v>
      </c>
      <c r="AZ19" s="1">
        <v>9.0497270686884318E-2</v>
      </c>
      <c r="BA19" s="1">
        <v>0.11125782523534707</v>
      </c>
      <c r="BB19" s="1">
        <v>3.1487575479949265E-2</v>
      </c>
    </row>
    <row r="21" spans="2:54" s="1" customFormat="1" x14ac:dyDescent="0.25">
      <c r="D21" s="1">
        <f>D19/D18</f>
        <v>1</v>
      </c>
      <c r="E21" s="1">
        <f t="shared" ref="E21:BB21" si="2">E19/E18</f>
        <v>1</v>
      </c>
      <c r="F21" s="1">
        <f t="shared" si="2"/>
        <v>1.0000973665219532</v>
      </c>
      <c r="G21" s="1">
        <f t="shared" si="2"/>
        <v>0.99996829679393207</v>
      </c>
      <c r="H21" s="1">
        <f t="shared" si="2"/>
        <v>1.0000450987933533</v>
      </c>
      <c r="I21" s="1">
        <f t="shared" si="2"/>
        <v>1.0000066162833858</v>
      </c>
      <c r="J21" s="1">
        <f t="shared" si="2"/>
        <v>1</v>
      </c>
      <c r="K21" s="1">
        <f t="shared" si="2"/>
        <v>1</v>
      </c>
      <c r="L21" s="1">
        <f t="shared" si="2"/>
        <v>1</v>
      </c>
      <c r="M21" s="1">
        <f t="shared" si="2"/>
        <v>1</v>
      </c>
      <c r="N21" s="1">
        <f t="shared" si="2"/>
        <v>1</v>
      </c>
      <c r="O21" s="1">
        <f t="shared" si="2"/>
        <v>0.99278948136698864</v>
      </c>
      <c r="P21" s="1">
        <f t="shared" si="2"/>
        <v>1</v>
      </c>
      <c r="Q21" s="1">
        <f t="shared" si="2"/>
        <v>1</v>
      </c>
      <c r="R21" s="1">
        <f t="shared" si="2"/>
        <v>1.0000019263183242</v>
      </c>
      <c r="S21" s="1">
        <f t="shared" si="2"/>
        <v>1</v>
      </c>
      <c r="T21" s="1">
        <f t="shared" si="2"/>
        <v>1.0000953696889596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1.0000020408737116</v>
      </c>
      <c r="AA21" s="1">
        <f t="shared" si="2"/>
        <v>0.99997331022521119</v>
      </c>
      <c r="AB21" s="1">
        <f t="shared" si="2"/>
        <v>1</v>
      </c>
      <c r="AC21" s="1">
        <f t="shared" si="2"/>
        <v>1</v>
      </c>
      <c r="AD21" s="1">
        <f t="shared" si="2"/>
        <v>1.0000247633332862</v>
      </c>
      <c r="AE21" s="1">
        <f t="shared" si="2"/>
        <v>1</v>
      </c>
      <c r="AF21" s="1">
        <f t="shared" si="2"/>
        <v>1</v>
      </c>
      <c r="AG21" s="1">
        <f t="shared" si="2"/>
        <v>1</v>
      </c>
      <c r="AH21" s="1">
        <f t="shared" si="2"/>
        <v>0.99995311403203258</v>
      </c>
      <c r="AI21" s="1">
        <f t="shared" si="2"/>
        <v>0.66338389566339251</v>
      </c>
      <c r="AJ21" s="1">
        <f t="shared" si="2"/>
        <v>1</v>
      </c>
      <c r="AK21" s="1">
        <f t="shared" si="2"/>
        <v>1.0000017558403089</v>
      </c>
      <c r="AL21" s="1">
        <f t="shared" si="2"/>
        <v>0.89791760406443877</v>
      </c>
      <c r="AM21" s="1">
        <f t="shared" si="2"/>
        <v>1</v>
      </c>
      <c r="AN21" s="1">
        <f t="shared" si="2"/>
        <v>0.51984489634564623</v>
      </c>
      <c r="AO21" s="1">
        <f t="shared" si="2"/>
        <v>1.0000017586751782</v>
      </c>
      <c r="AP21" s="1">
        <f t="shared" si="2"/>
        <v>0.49000977113612842</v>
      </c>
      <c r="AQ21" s="1">
        <f t="shared" si="2"/>
        <v>1</v>
      </c>
      <c r="AR21" s="1">
        <f t="shared" si="2"/>
        <v>0.3946533606017667</v>
      </c>
      <c r="AS21" s="1">
        <f t="shared" si="2"/>
        <v>1</v>
      </c>
      <c r="AT21" s="1">
        <f t="shared" si="2"/>
        <v>0.47172198551473121</v>
      </c>
      <c r="AU21" s="1">
        <f t="shared" si="2"/>
        <v>0.93712943863973708</v>
      </c>
      <c r="AV21" s="1">
        <f t="shared" si="2"/>
        <v>1</v>
      </c>
      <c r="AW21" s="1">
        <f t="shared" si="2"/>
        <v>1</v>
      </c>
      <c r="AX21" s="1">
        <f t="shared" si="2"/>
        <v>1.0000289182037077</v>
      </c>
      <c r="AY21" s="1">
        <f t="shared" si="2"/>
        <v>1.0000051769946348</v>
      </c>
      <c r="AZ21" s="1">
        <f t="shared" si="2"/>
        <v>1.0000016654607939</v>
      </c>
      <c r="BA21" s="1">
        <f t="shared" si="2"/>
        <v>0.98514931048832644</v>
      </c>
      <c r="BB21" s="1">
        <f t="shared" si="2"/>
        <v>1</v>
      </c>
    </row>
    <row r="23" spans="2:54" s="1" customFormat="1" x14ac:dyDescent="0.25">
      <c r="B23" s="2" t="s">
        <v>3</v>
      </c>
    </row>
    <row r="25" spans="2:54" s="1" customFormat="1" x14ac:dyDescent="0.25">
      <c r="B25" s="3" t="s">
        <v>2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s="1" customFormat="1" x14ac:dyDescent="0.25">
      <c r="B26" s="3"/>
      <c r="C26" s="1" t="s">
        <v>61</v>
      </c>
      <c r="D26" s="1">
        <v>0.13050051274191254</v>
      </c>
      <c r="E26" s="1">
        <v>8.3820294075600779E-2</v>
      </c>
      <c r="F26" s="1">
        <v>5.9959548541749903E-2</v>
      </c>
      <c r="G26" s="1">
        <v>8.6029876364625682E-2</v>
      </c>
      <c r="H26" s="1">
        <v>6.3519220434736554E-2</v>
      </c>
      <c r="I26" s="1">
        <v>8.7298165691151772E-2</v>
      </c>
      <c r="J26" s="1">
        <v>6.720601163272534E-2</v>
      </c>
      <c r="K26" s="1">
        <v>0.10831963779583163</v>
      </c>
      <c r="L26" s="1">
        <v>0.11381258427450196</v>
      </c>
      <c r="M26" s="1">
        <v>7.1126084064418213E-2</v>
      </c>
      <c r="N26" s="1">
        <v>6.4223067193865127E-2</v>
      </c>
      <c r="O26" s="1">
        <v>8.8794866796621186E-2</v>
      </c>
      <c r="P26" s="1">
        <v>7.4504909600039346E-2</v>
      </c>
      <c r="Q26" s="1">
        <v>8.1189326009777532E-2</v>
      </c>
      <c r="R26" s="1">
        <v>8.069520847143169E-2</v>
      </c>
      <c r="S26" s="1">
        <v>6.6950316661016196E-2</v>
      </c>
      <c r="T26" s="1">
        <v>0.10799357613907089</v>
      </c>
      <c r="U26" s="1">
        <v>6.2361986760738508E-2</v>
      </c>
      <c r="V26" s="1">
        <v>3.9102139359099855E-2</v>
      </c>
      <c r="W26" s="1">
        <v>8.2147246209653871E-2</v>
      </c>
      <c r="X26" s="1">
        <v>6.7584503388142037E-2</v>
      </c>
      <c r="Y26" s="1">
        <v>5.201889224702913E-2</v>
      </c>
      <c r="Z26" s="1">
        <v>8.8363644088946647E-2</v>
      </c>
      <c r="AA26" s="1">
        <v>0.17374513870069733</v>
      </c>
      <c r="AB26" s="1">
        <v>5.6592532552627667E-2</v>
      </c>
      <c r="AC26" s="1">
        <v>9.0245285236711756E-2</v>
      </c>
      <c r="AD26" s="1">
        <v>0.1323715408683083</v>
      </c>
      <c r="AE26" s="1">
        <v>5.4006110935924403E-2</v>
      </c>
      <c r="AF26" s="1">
        <v>5.9391314727699353E-2</v>
      </c>
      <c r="AG26" s="1">
        <v>8.5175572055957813E-2</v>
      </c>
      <c r="AH26" s="1">
        <v>7.276744962852022E-2</v>
      </c>
      <c r="AI26" s="1">
        <v>0.15734605221464965</v>
      </c>
      <c r="AJ26" s="1">
        <v>8.5819034008031828E-2</v>
      </c>
      <c r="AK26" s="1">
        <v>0.10455869917332733</v>
      </c>
      <c r="AL26" s="1">
        <v>9.9981306053637017E-2</v>
      </c>
      <c r="AM26" s="1">
        <v>0.10525222987683801</v>
      </c>
      <c r="AN26" s="1">
        <v>0.30402311646950986</v>
      </c>
      <c r="AO26" s="1">
        <v>8.4464864307670057E-2</v>
      </c>
      <c r="AP26" s="1">
        <v>0.16968715282214314</v>
      </c>
      <c r="AQ26" s="1">
        <v>4.7485920265482838E-2</v>
      </c>
      <c r="AR26" s="1">
        <v>0.11324630926703277</v>
      </c>
      <c r="AS26" s="1">
        <v>7.6009238450375313E-2</v>
      </c>
      <c r="AT26" s="1">
        <v>0.15023332795108685</v>
      </c>
      <c r="AU26" s="1">
        <v>5.2255629049245203E-2</v>
      </c>
      <c r="AV26" s="1">
        <v>5.7856535503086032E-2</v>
      </c>
      <c r="AW26" s="1">
        <v>8.7236371234766144E-2</v>
      </c>
      <c r="AX26" s="1">
        <v>0.1090857801865799</v>
      </c>
      <c r="AY26" s="1">
        <v>8.7460320211076761E-2</v>
      </c>
      <c r="AZ26" s="1">
        <v>7.0455852994320889E-2</v>
      </c>
      <c r="BA26" s="1">
        <v>0.14452790101678681</v>
      </c>
      <c r="BB26" s="1">
        <v>3.5415756954671564E-2</v>
      </c>
    </row>
    <row r="28" spans="2:54" s="1" customFormat="1" x14ac:dyDescent="0.25">
      <c r="D28" s="1">
        <f>D26/D25</f>
        <v>0.99623893520120654</v>
      </c>
      <c r="E28" s="1">
        <f t="shared" ref="E28:BB28" si="3">E26/E25</f>
        <v>0.99161290423742998</v>
      </c>
      <c r="F28" s="1">
        <f t="shared" si="3"/>
        <v>0.98911185389358247</v>
      </c>
      <c r="G28" s="1">
        <f t="shared" si="3"/>
        <v>0.97348661903838651</v>
      </c>
      <c r="H28" s="1">
        <f t="shared" si="3"/>
        <v>0.97060266214062163</v>
      </c>
      <c r="I28" s="1">
        <f t="shared" si="3"/>
        <v>0.9831789514983057</v>
      </c>
      <c r="J28" s="1">
        <f t="shared" si="3"/>
        <v>0.99368924209509024</v>
      </c>
      <c r="K28" s="1">
        <f t="shared" si="3"/>
        <v>0.99688119901391836</v>
      </c>
      <c r="L28" s="1">
        <f t="shared" si="3"/>
        <v>0.99825921011357988</v>
      </c>
      <c r="M28" s="1">
        <f t="shared" si="3"/>
        <v>0.98713966331650593</v>
      </c>
      <c r="N28" s="1">
        <f t="shared" si="3"/>
        <v>0.98371798538639976</v>
      </c>
      <c r="O28" s="1">
        <f t="shared" si="3"/>
        <v>0.94262651847345258</v>
      </c>
      <c r="P28" s="1">
        <f t="shared" si="3"/>
        <v>0.9860975008200078</v>
      </c>
      <c r="Q28" s="1">
        <f t="shared" si="3"/>
        <v>0.98937620377262536</v>
      </c>
      <c r="R28" s="1">
        <f t="shared" si="3"/>
        <v>0.98549546799448684</v>
      </c>
      <c r="S28" s="1">
        <f t="shared" si="3"/>
        <v>0.98133707512672697</v>
      </c>
      <c r="T28" s="1">
        <f t="shared" si="3"/>
        <v>0.99288216669697948</v>
      </c>
      <c r="U28" s="1">
        <f t="shared" si="3"/>
        <v>0.98222729008645115</v>
      </c>
      <c r="V28" s="1">
        <f t="shared" si="3"/>
        <v>0.97631539523647026</v>
      </c>
      <c r="W28" s="1">
        <f t="shared" si="3"/>
        <v>0.99726632850994401</v>
      </c>
      <c r="X28" s="1">
        <f t="shared" si="3"/>
        <v>0.96691164828822629</v>
      </c>
      <c r="Y28" s="1">
        <f t="shared" si="3"/>
        <v>0.99323971022838209</v>
      </c>
      <c r="Z28" s="1">
        <f t="shared" si="3"/>
        <v>0.97239511468364914</v>
      </c>
      <c r="AA28" s="1">
        <f t="shared" si="3"/>
        <v>0.97340500221790849</v>
      </c>
      <c r="AB28" s="1">
        <f t="shared" si="3"/>
        <v>0.99197255108324811</v>
      </c>
      <c r="AC28" s="1">
        <f t="shared" si="3"/>
        <v>0.99853556044394021</v>
      </c>
      <c r="AD28" s="1">
        <f t="shared" si="3"/>
        <v>0.9989131373056791</v>
      </c>
      <c r="AE28" s="1">
        <f t="shared" si="3"/>
        <v>0.91623686292319462</v>
      </c>
      <c r="AF28" s="1">
        <f t="shared" si="3"/>
        <v>0.98861321680192638</v>
      </c>
      <c r="AG28" s="1">
        <f t="shared" si="3"/>
        <v>0.98821400821125716</v>
      </c>
      <c r="AH28" s="1">
        <f t="shared" si="3"/>
        <v>0.97159184580116376</v>
      </c>
      <c r="AI28" s="1">
        <f t="shared" si="3"/>
        <v>0.61271680276474116</v>
      </c>
      <c r="AJ28" s="1">
        <f t="shared" si="3"/>
        <v>0.97540064180290365</v>
      </c>
      <c r="AK28" s="1">
        <f t="shared" si="3"/>
        <v>0.97873745772282061</v>
      </c>
      <c r="AL28" s="1">
        <f t="shared" si="3"/>
        <v>0.88191339891362464</v>
      </c>
      <c r="AM28" s="1">
        <f t="shared" si="3"/>
        <v>0.99336587858521352</v>
      </c>
      <c r="AN28" s="1">
        <f t="shared" si="3"/>
        <v>0.45947052696563823</v>
      </c>
      <c r="AO28" s="1">
        <f t="shared" si="3"/>
        <v>0.98110365596288052</v>
      </c>
      <c r="AP28" s="1">
        <f t="shared" si="3"/>
        <v>0.43398698059606999</v>
      </c>
      <c r="AQ28" s="1">
        <f t="shared" si="3"/>
        <v>1</v>
      </c>
      <c r="AR28" s="1">
        <f t="shared" si="3"/>
        <v>0.37467850252736046</v>
      </c>
      <c r="AS28" s="1">
        <f t="shared" si="3"/>
        <v>0.98317876742558308</v>
      </c>
      <c r="AT28" s="1">
        <f t="shared" si="3"/>
        <v>0.43117862183414246</v>
      </c>
      <c r="AU28" s="1">
        <f t="shared" si="3"/>
        <v>0.82249796629848115</v>
      </c>
      <c r="AV28" s="1">
        <f t="shared" si="3"/>
        <v>0.97937335613068111</v>
      </c>
      <c r="AW28" s="1">
        <f t="shared" si="3"/>
        <v>0.97799266026331289</v>
      </c>
      <c r="AX28" s="1">
        <f t="shared" si="3"/>
        <v>0.98905214980644462</v>
      </c>
      <c r="AY28" s="1">
        <f t="shared" si="3"/>
        <v>0.97991534412080927</v>
      </c>
      <c r="AZ28" s="1">
        <f t="shared" si="3"/>
        <v>0.99282531320039802</v>
      </c>
      <c r="BA28" s="1">
        <f t="shared" si="3"/>
        <v>0.82070922990931094</v>
      </c>
      <c r="BB28" s="1">
        <f t="shared" si="3"/>
        <v>0.95481815604359432</v>
      </c>
    </row>
  </sheetData>
  <mergeCells count="4">
    <mergeCell ref="B4:B5"/>
    <mergeCell ref="B11:B12"/>
    <mergeCell ref="B18:B19"/>
    <mergeCell ref="B25:B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3692-EE57-410D-9DA7-47D6F32FA542}">
  <dimension ref="B1:BB28"/>
  <sheetViews>
    <sheetView workbookViewId="0"/>
  </sheetViews>
  <sheetFormatPr defaultRowHeight="15" x14ac:dyDescent="0.25"/>
  <cols>
    <col min="1" max="2" width="9.140625" style="1"/>
    <col min="3" max="3" width="21.42578125" style="1" bestFit="1" customWidth="1"/>
    <col min="4" max="16384" width="9.140625" style="1"/>
  </cols>
  <sheetData>
    <row r="1" spans="2:54" s="1" customFormat="1" x14ac:dyDescent="0.25"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 spans="2:54" s="1" customFormat="1" x14ac:dyDescent="0.25">
      <c r="B2" s="2" t="s">
        <v>0</v>
      </c>
    </row>
    <row r="4" spans="2:54" s="1" customFormat="1" x14ac:dyDescent="0.25">
      <c r="B4" s="3" t="s">
        <v>2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s="1" customFormat="1" x14ac:dyDescent="0.25">
      <c r="B5" s="3"/>
      <c r="C5" s="1" t="s">
        <v>58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0.13386561552941978</v>
      </c>
      <c r="AJ5" s="1">
        <v>7.1969617619127429E-2</v>
      </c>
      <c r="AK5" s="1">
        <v>8.970814547919824E-2</v>
      </c>
      <c r="AL5" s="1">
        <v>6.8107654784264338E-2</v>
      </c>
      <c r="AM5" s="1">
        <v>0.16377815944444091</v>
      </c>
      <c r="AN5" s="1">
        <v>0.25881422613282135</v>
      </c>
      <c r="AO5" s="1">
        <v>7.2195491893629032E-2</v>
      </c>
      <c r="AP5" s="1">
        <v>0.16403922825543193</v>
      </c>
      <c r="AQ5" s="1">
        <v>5.3516549468204805E-2</v>
      </c>
      <c r="AR5" s="1">
        <v>4.5961466158136045E-2</v>
      </c>
      <c r="AS5" s="1">
        <v>0.1529292250864166</v>
      </c>
      <c r="AT5" s="1">
        <v>9.3076485613514504E-2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s="1" customFormat="1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0.82770580656022685</v>
      </c>
      <c r="AJ7" s="1">
        <f t="shared" si="0"/>
        <v>1</v>
      </c>
      <c r="AK7" s="1">
        <f t="shared" si="0"/>
        <v>1</v>
      </c>
      <c r="AL7" s="1">
        <f t="shared" si="0"/>
        <v>0.89883102973341078</v>
      </c>
      <c r="AM7" s="1">
        <f t="shared" si="0"/>
        <v>1</v>
      </c>
      <c r="AN7" s="1">
        <f t="shared" si="0"/>
        <v>0.73328587690579994</v>
      </c>
      <c r="AO7" s="1">
        <f t="shared" si="0"/>
        <v>1</v>
      </c>
      <c r="AP7" s="1">
        <f t="shared" si="0"/>
        <v>0.72795741809990222</v>
      </c>
      <c r="AQ7" s="1">
        <f t="shared" si="0"/>
        <v>1</v>
      </c>
      <c r="AR7" s="1">
        <f t="shared" si="0"/>
        <v>0.4682564135153317</v>
      </c>
      <c r="AS7" s="1">
        <f t="shared" si="0"/>
        <v>1</v>
      </c>
      <c r="AT7" s="1">
        <f t="shared" si="0"/>
        <v>0.63245085783703547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s="1" customFormat="1" x14ac:dyDescent="0.25">
      <c r="B9" s="2" t="s">
        <v>4</v>
      </c>
    </row>
    <row r="11" spans="2:54" s="1" customFormat="1" x14ac:dyDescent="0.25">
      <c r="B11" s="3" t="s">
        <v>2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s="1" customFormat="1" x14ac:dyDescent="0.25">
      <c r="B12" s="3"/>
      <c r="C12" s="1" t="s">
        <v>58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0.19822238989451213</v>
      </c>
      <c r="M12" s="1">
        <v>0.19324553600147637</v>
      </c>
      <c r="N12" s="1">
        <v>0.12764033467260896</v>
      </c>
      <c r="O12" s="1">
        <v>8.7825081221572454E-2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0.1760994881839531</v>
      </c>
      <c r="AB12" s="1">
        <v>0.13116520147170757</v>
      </c>
      <c r="AC12" s="1">
        <v>0.13419130165977591</v>
      </c>
      <c r="AD12" s="1">
        <v>0.23900099353831794</v>
      </c>
      <c r="AE12" s="1">
        <v>4.1604393567144057E-2</v>
      </c>
      <c r="AF12" s="1">
        <v>0.19575047988511474</v>
      </c>
      <c r="AG12" s="1">
        <v>0.11827289238550442</v>
      </c>
      <c r="AH12" s="1">
        <v>6.3722526764350251E-2</v>
      </c>
      <c r="AI12" s="1">
        <v>0.1377312547538018</v>
      </c>
      <c r="AJ12" s="1">
        <v>6.8070626873731443E-2</v>
      </c>
      <c r="AK12" s="1">
        <v>8.7811355729438337E-2</v>
      </c>
      <c r="AL12" s="1">
        <v>7.294362829730594E-2</v>
      </c>
      <c r="AM12" s="1">
        <v>0.13856481274568017</v>
      </c>
      <c r="AN12" s="1">
        <v>0.26762845226564275</v>
      </c>
      <c r="AO12" s="1">
        <v>6.9276760899195836E-2</v>
      </c>
      <c r="AP12" s="1">
        <v>0.1580842387479183</v>
      </c>
      <c r="AQ12" s="1">
        <v>4.7485920265482838E-2</v>
      </c>
      <c r="AR12" s="1">
        <v>6.1922923712663565E-2</v>
      </c>
      <c r="AS12" s="1">
        <v>0.11785031978505653</v>
      </c>
      <c r="AT12" s="1">
        <v>0.10615296690393944</v>
      </c>
      <c r="AU12" s="1">
        <v>3.0284703826636453E-2</v>
      </c>
      <c r="AV12" s="1">
        <v>9.3007144073045958E-2</v>
      </c>
      <c r="AW12" s="1">
        <v>0.11133872988851859</v>
      </c>
      <c r="AX12" s="1">
        <v>0.14429436957545766</v>
      </c>
      <c r="AY12" s="1">
        <v>7.9201053650843858E-2</v>
      </c>
      <c r="AZ12" s="1">
        <v>0.11655329696545856</v>
      </c>
      <c r="BA12" s="1">
        <v>8.3002179914120178E-2</v>
      </c>
      <c r="BB12" s="1">
        <v>4.0991719871745214E-2</v>
      </c>
    </row>
    <row r="14" spans="2:54" s="1" customFormat="1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1.0000549591645951</v>
      </c>
      <c r="M14" s="1">
        <f t="shared" si="1"/>
        <v>1</v>
      </c>
      <c r="N14" s="1">
        <f t="shared" si="1"/>
        <v>1</v>
      </c>
      <c r="O14" s="1">
        <f t="shared" si="1"/>
        <v>0.99969404295972142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1.0000270633564246</v>
      </c>
      <c r="AB14" s="1">
        <f t="shared" si="1"/>
        <v>1</v>
      </c>
      <c r="AC14" s="1">
        <f t="shared" si="1"/>
        <v>1</v>
      </c>
      <c r="AD14" s="1">
        <f t="shared" si="1"/>
        <v>1.0000525777130325</v>
      </c>
      <c r="AE14" s="1">
        <f t="shared" si="1"/>
        <v>1</v>
      </c>
      <c r="AF14" s="1">
        <f t="shared" si="1"/>
        <v>1</v>
      </c>
      <c r="AG14" s="1">
        <f t="shared" si="1"/>
        <v>1.0000970026190708</v>
      </c>
      <c r="AH14" s="1">
        <f t="shared" si="1"/>
        <v>1</v>
      </c>
      <c r="AI14" s="1">
        <f t="shared" si="1"/>
        <v>0.71192979608070273</v>
      </c>
      <c r="AJ14" s="1">
        <f t="shared" si="1"/>
        <v>1.0000182372085216</v>
      </c>
      <c r="AK14" s="1">
        <f t="shared" si="1"/>
        <v>1.000031288053232</v>
      </c>
      <c r="AL14" s="1">
        <f t="shared" si="1"/>
        <v>0.8785424933573599</v>
      </c>
      <c r="AM14" s="1">
        <f t="shared" si="1"/>
        <v>1.0000012287421842</v>
      </c>
      <c r="AN14" s="1">
        <f t="shared" si="1"/>
        <v>0.58703008760090214</v>
      </c>
      <c r="AO14" s="1">
        <f t="shared" si="1"/>
        <v>1.000095038401454</v>
      </c>
      <c r="AP14" s="1">
        <f t="shared" si="1"/>
        <v>0.56345966958211857</v>
      </c>
      <c r="AQ14" s="1">
        <f t="shared" si="1"/>
        <v>1</v>
      </c>
      <c r="AR14" s="1">
        <f t="shared" si="1"/>
        <v>0.3726120329646293</v>
      </c>
      <c r="AS14" s="1">
        <f t="shared" si="1"/>
        <v>1</v>
      </c>
      <c r="AT14" s="1">
        <f t="shared" si="1"/>
        <v>0.49555016871085011</v>
      </c>
      <c r="AU14" s="1">
        <f t="shared" si="1"/>
        <v>0.99916618625306353</v>
      </c>
      <c r="AV14" s="1">
        <f t="shared" si="1"/>
        <v>1</v>
      </c>
      <c r="AW14" s="1">
        <f t="shared" si="1"/>
        <v>1.0000011644852946</v>
      </c>
      <c r="AX14" s="1">
        <f t="shared" si="1"/>
        <v>1.000023264941909</v>
      </c>
      <c r="AY14" s="1">
        <f t="shared" si="1"/>
        <v>1.0000741265309796</v>
      </c>
      <c r="AZ14" s="1">
        <f t="shared" si="1"/>
        <v>1</v>
      </c>
      <c r="BA14" s="1">
        <f t="shared" si="1"/>
        <v>0.99979722696281126</v>
      </c>
      <c r="BB14" s="1">
        <f t="shared" si="1"/>
        <v>1</v>
      </c>
    </row>
    <row r="16" spans="2:54" s="1" customFormat="1" x14ac:dyDescent="0.25">
      <c r="B16" s="2" t="s">
        <v>5</v>
      </c>
    </row>
    <row r="18" spans="2:54" s="1" customFormat="1" x14ac:dyDescent="0.25">
      <c r="B18" s="3" t="s">
        <v>2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s="1" customFormat="1" x14ac:dyDescent="0.25">
      <c r="B19" s="3"/>
      <c r="C19" s="1" t="s">
        <v>58</v>
      </c>
      <c r="D19" s="1">
        <v>0.15293490353373024</v>
      </c>
      <c r="E19" s="1">
        <v>0.12019993202424784</v>
      </c>
      <c r="F19" s="1">
        <v>0.10061729770429331</v>
      </c>
      <c r="G19" s="1">
        <v>8.6769756435474993E-2</v>
      </c>
      <c r="H19" s="1">
        <v>6.8203469687508053E-2</v>
      </c>
      <c r="I19" s="1">
        <v>0.12770224701696523</v>
      </c>
      <c r="J19" s="1">
        <v>0.11062866373402996</v>
      </c>
      <c r="K19" s="1">
        <v>0.1083646164019041</v>
      </c>
      <c r="L19" s="1">
        <v>0.14992533915110204</v>
      </c>
      <c r="M19" s="1">
        <v>0.11316996800143131</v>
      </c>
      <c r="N19" s="1">
        <v>8.4871385651530323E-2</v>
      </c>
      <c r="O19" s="1">
        <v>8.6727528698288939E-2</v>
      </c>
      <c r="P19" s="1">
        <v>0.12598645383792556</v>
      </c>
      <c r="Q19" s="1">
        <v>0.14919281000905199</v>
      </c>
      <c r="R19" s="1">
        <v>0.10111907004867771</v>
      </c>
      <c r="S19" s="1">
        <v>8.533431106325963E-2</v>
      </c>
      <c r="T19" s="1">
        <v>0.11319322324319132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9.463275484350131E-2</v>
      </c>
      <c r="AA19" s="1">
        <v>0.16308038005271314</v>
      </c>
      <c r="AB19" s="1">
        <v>8.4474615730185207E-2</v>
      </c>
      <c r="AC19" s="1">
        <v>9.7888831186374051E-2</v>
      </c>
      <c r="AD19" s="1">
        <v>0.17147773767901997</v>
      </c>
      <c r="AE19" s="1">
        <v>4.1120798839840461E-2</v>
      </c>
      <c r="AF19" s="1">
        <v>0.1086257166130794</v>
      </c>
      <c r="AG19" s="1">
        <v>9.7810983662380072E-2</v>
      </c>
      <c r="AH19" s="1">
        <v>6.4684141459084368E-2</v>
      </c>
      <c r="AI19" s="1">
        <v>0.14163543060316389</v>
      </c>
      <c r="AJ19" s="1">
        <v>7.2278647530553852E-2</v>
      </c>
      <c r="AK19" s="1">
        <v>9.204124030393887E-2</v>
      </c>
      <c r="AL19" s="1">
        <v>8.2529346809878057E-2</v>
      </c>
      <c r="AM19" s="1">
        <v>0.11861593337717534</v>
      </c>
      <c r="AN19" s="1">
        <v>0.27644267839846409</v>
      </c>
      <c r="AO19" s="1">
        <v>7.3881928031243077E-2</v>
      </c>
      <c r="AP19" s="1">
        <v>0.15657815007395634</v>
      </c>
      <c r="AQ19" s="1">
        <v>4.7485920265482838E-2</v>
      </c>
      <c r="AR19" s="1">
        <v>7.7884381267191091E-2</v>
      </c>
      <c r="AS19" s="1">
        <v>9.1509082602146283E-2</v>
      </c>
      <c r="AT19" s="1">
        <v>0.11922944819436437</v>
      </c>
      <c r="AU19" s="1">
        <v>3.852108799029777E-2</v>
      </c>
      <c r="AV19" s="1">
        <v>6.7858948786937989E-2</v>
      </c>
      <c r="AW19" s="1">
        <v>9.3615236030681753E-2</v>
      </c>
      <c r="AX19" s="1">
        <v>0.12207828125592199</v>
      </c>
      <c r="AY19" s="1">
        <v>7.9502591885762072E-2</v>
      </c>
      <c r="AZ19" s="1">
        <v>9.0497270686884318E-2</v>
      </c>
      <c r="BA19" s="1">
        <v>0.10793433234078129</v>
      </c>
      <c r="BB19" s="1">
        <v>3.1487575479949265E-2</v>
      </c>
    </row>
    <row r="21" spans="2:54" s="1" customFormat="1" x14ac:dyDescent="0.25">
      <c r="D21" s="1">
        <f>D19/D18</f>
        <v>1</v>
      </c>
      <c r="E21" s="1">
        <f t="shared" ref="E21:BB21" si="2">E19/E18</f>
        <v>1</v>
      </c>
      <c r="F21" s="1">
        <f t="shared" si="2"/>
        <v>1.0000836206600305</v>
      </c>
      <c r="G21" s="1">
        <f t="shared" si="2"/>
        <v>0.99996829679393207</v>
      </c>
      <c r="H21" s="1">
        <f t="shared" si="2"/>
        <v>1.0000396996420362</v>
      </c>
      <c r="I21" s="1">
        <f t="shared" si="2"/>
        <v>1</v>
      </c>
      <c r="J21" s="1">
        <f t="shared" si="2"/>
        <v>1</v>
      </c>
      <c r="K21" s="1">
        <f t="shared" si="2"/>
        <v>1</v>
      </c>
      <c r="L21" s="1">
        <f t="shared" si="2"/>
        <v>1</v>
      </c>
      <c r="M21" s="1">
        <f t="shared" si="2"/>
        <v>1</v>
      </c>
      <c r="N21" s="1">
        <f t="shared" si="2"/>
        <v>1</v>
      </c>
      <c r="O21" s="1">
        <f t="shared" si="2"/>
        <v>0.97743426708723757</v>
      </c>
      <c r="P21" s="1">
        <f t="shared" si="2"/>
        <v>1</v>
      </c>
      <c r="Q21" s="1">
        <f t="shared" si="2"/>
        <v>1</v>
      </c>
      <c r="R21" s="1">
        <f t="shared" si="2"/>
        <v>1.000082617652567</v>
      </c>
      <c r="S21" s="1">
        <f t="shared" si="2"/>
        <v>1</v>
      </c>
      <c r="T21" s="1">
        <f t="shared" si="2"/>
        <v>1.0000871093221992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1.0000038549836776</v>
      </c>
      <c r="AA21" s="1">
        <f t="shared" si="2"/>
        <v>0.99964373798130224</v>
      </c>
      <c r="AB21" s="1">
        <f t="shared" si="2"/>
        <v>1</v>
      </c>
      <c r="AC21" s="1">
        <f t="shared" si="2"/>
        <v>1</v>
      </c>
      <c r="AD21" s="1">
        <f t="shared" si="2"/>
        <v>1.0000234998979145</v>
      </c>
      <c r="AE21" s="1">
        <f t="shared" si="2"/>
        <v>1</v>
      </c>
      <c r="AF21" s="1">
        <f t="shared" si="2"/>
        <v>1</v>
      </c>
      <c r="AG21" s="1">
        <f t="shared" si="2"/>
        <v>1.0000131045339942</v>
      </c>
      <c r="AH21" s="1">
        <f t="shared" si="2"/>
        <v>1.000037508774374</v>
      </c>
      <c r="AI21" s="1">
        <f t="shared" si="2"/>
        <v>0.62929609924496266</v>
      </c>
      <c r="AJ21" s="1">
        <f t="shared" si="2"/>
        <v>1</v>
      </c>
      <c r="AK21" s="1">
        <f t="shared" si="2"/>
        <v>1.0000017558403089</v>
      </c>
      <c r="AL21" s="1">
        <f t="shared" si="2"/>
        <v>0.85048786018217704</v>
      </c>
      <c r="AM21" s="1">
        <f t="shared" si="2"/>
        <v>1</v>
      </c>
      <c r="AN21" s="1">
        <f t="shared" si="2"/>
        <v>0.4946601245635045</v>
      </c>
      <c r="AO21" s="1">
        <f t="shared" si="2"/>
        <v>1.0000017586751782</v>
      </c>
      <c r="AP21" s="1">
        <f t="shared" si="2"/>
        <v>0.46631454028900643</v>
      </c>
      <c r="AQ21" s="1">
        <f t="shared" si="2"/>
        <v>1</v>
      </c>
      <c r="AR21" s="1">
        <f t="shared" si="2"/>
        <v>0.33253009614051265</v>
      </c>
      <c r="AS21" s="1">
        <f t="shared" si="2"/>
        <v>1</v>
      </c>
      <c r="AT21" s="1">
        <f t="shared" si="2"/>
        <v>0.42391675581624122</v>
      </c>
      <c r="AU21" s="1">
        <f t="shared" si="2"/>
        <v>0.88089488487338774</v>
      </c>
      <c r="AV21" s="1">
        <f t="shared" si="2"/>
        <v>1</v>
      </c>
      <c r="AW21" s="1">
        <f t="shared" si="2"/>
        <v>1</v>
      </c>
      <c r="AX21" s="1">
        <f t="shared" si="2"/>
        <v>1.0000289182037077</v>
      </c>
      <c r="AY21" s="1">
        <f t="shared" si="2"/>
        <v>1.0000051769946348</v>
      </c>
      <c r="AZ21" s="1">
        <f t="shared" si="2"/>
        <v>1.0000016654607939</v>
      </c>
      <c r="BA21" s="1">
        <f t="shared" si="2"/>
        <v>0.95572093790807466</v>
      </c>
      <c r="BB21" s="1">
        <f t="shared" si="2"/>
        <v>1</v>
      </c>
    </row>
    <row r="23" spans="2:54" s="1" customFormat="1" x14ac:dyDescent="0.25">
      <c r="B23" s="2" t="s">
        <v>3</v>
      </c>
    </row>
    <row r="25" spans="2:54" s="1" customFormat="1" x14ac:dyDescent="0.25">
      <c r="B25" s="3" t="s">
        <v>2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s="1" customFormat="1" x14ac:dyDescent="0.25">
      <c r="B26" s="3"/>
      <c r="C26" s="1" t="s">
        <v>58</v>
      </c>
      <c r="D26" s="1">
        <v>0.13027664683025483</v>
      </c>
      <c r="E26" s="1">
        <v>8.3577474842817912E-2</v>
      </c>
      <c r="F26" s="1">
        <v>5.9706755739266724E-2</v>
      </c>
      <c r="G26" s="1">
        <v>8.5025513591399995E-2</v>
      </c>
      <c r="H26" s="1">
        <v>6.2786970076419937E-2</v>
      </c>
      <c r="I26" s="1">
        <v>8.6619807866498352E-2</v>
      </c>
      <c r="J26" s="1">
        <v>6.7020251200428926E-2</v>
      </c>
      <c r="K26" s="1">
        <v>0.10818690877809056</v>
      </c>
      <c r="L26" s="1">
        <v>0.11378165591492738</v>
      </c>
      <c r="M26" s="1">
        <v>7.0626882133370761E-2</v>
      </c>
      <c r="N26" s="1">
        <v>6.3858729696408698E-2</v>
      </c>
      <c r="O26" s="1">
        <v>8.6005826294130394E-2</v>
      </c>
      <c r="P26" s="1">
        <v>7.3931149564137558E-2</v>
      </c>
      <c r="Q26" s="1">
        <v>8.0892289963285541E-2</v>
      </c>
      <c r="R26" s="1">
        <v>8.024985278526385E-2</v>
      </c>
      <c r="S26" s="1">
        <v>6.6221438497790899E-2</v>
      </c>
      <c r="T26" s="1">
        <v>0.10759136238038131</v>
      </c>
      <c r="U26" s="1">
        <v>6.1735358872173345E-2</v>
      </c>
      <c r="V26" s="1">
        <v>3.8809568729621373E-2</v>
      </c>
      <c r="W26" s="1">
        <v>8.2104232272662031E-2</v>
      </c>
      <c r="X26" s="1">
        <v>6.6172527333783954E-2</v>
      </c>
      <c r="Y26" s="1">
        <v>5.1878500319564959E-2</v>
      </c>
      <c r="Z26" s="1">
        <v>8.7402529652852459E-2</v>
      </c>
      <c r="AA26" s="1">
        <v>0.17115466973925261</v>
      </c>
      <c r="AB26" s="1">
        <v>5.6475002155229367E-2</v>
      </c>
      <c r="AC26" s="1">
        <v>9.0240306320258187E-2</v>
      </c>
      <c r="AD26" s="1">
        <v>0.13236073023549849</v>
      </c>
      <c r="AE26" s="1">
        <v>5.1052802332793912E-2</v>
      </c>
      <c r="AF26" s="1">
        <v>5.9044760203170829E-2</v>
      </c>
      <c r="AG26" s="1">
        <v>8.4721597368822441E-2</v>
      </c>
      <c r="AH26" s="1">
        <v>7.1712082266665686E-2</v>
      </c>
      <c r="AI26" s="1">
        <v>0.14711652773161449</v>
      </c>
      <c r="AJ26" s="1">
        <v>8.4418060909073986E-2</v>
      </c>
      <c r="AK26" s="1">
        <v>0.10330291305048719</v>
      </c>
      <c r="AL26" s="1">
        <v>9.2141902953493116E-2</v>
      </c>
      <c r="AM26" s="1">
        <v>0.10489242746382503</v>
      </c>
      <c r="AN26" s="1">
        <v>0.28525712112364654</v>
      </c>
      <c r="AO26" s="1">
        <v>8.3501143203386252E-2</v>
      </c>
      <c r="AP26" s="1">
        <v>0.1590859734190346</v>
      </c>
      <c r="AQ26" s="1">
        <v>4.7485920265482838E-2</v>
      </c>
      <c r="AR26" s="1">
        <v>9.3845838821718611E-2</v>
      </c>
      <c r="AS26" s="1">
        <v>7.5483662646636807E-2</v>
      </c>
      <c r="AT26" s="1">
        <v>0.13230592948478931</v>
      </c>
      <c r="AU26" s="1">
        <v>4.6945692241406822E-2</v>
      </c>
      <c r="AV26" s="1">
        <v>5.73752589470303E-2</v>
      </c>
      <c r="AW26" s="1">
        <v>8.6356638093490881E-2</v>
      </c>
      <c r="AX26" s="1">
        <v>0.10830907505969366</v>
      </c>
      <c r="AY26" s="1">
        <v>8.6465157386928573E-2</v>
      </c>
      <c r="AZ26" s="1">
        <v>7.0282870179778106E-2</v>
      </c>
      <c r="BA26" s="1">
        <v>0.1328891326996639</v>
      </c>
      <c r="BB26" s="1">
        <v>3.4360931019992533E-2</v>
      </c>
    </row>
    <row r="28" spans="2:54" s="1" customFormat="1" x14ac:dyDescent="0.25">
      <c r="D28" s="1">
        <f>D26/D25</f>
        <v>0.99452994622659008</v>
      </c>
      <c r="E28" s="1">
        <f t="shared" ref="E28:BB28" si="3">E26/E25</f>
        <v>0.98874029817848019</v>
      </c>
      <c r="F28" s="1">
        <f t="shared" si="3"/>
        <v>0.98494170312366824</v>
      </c>
      <c r="G28" s="1">
        <f t="shared" si="3"/>
        <v>0.96212157050278824</v>
      </c>
      <c r="H28" s="1">
        <f t="shared" si="3"/>
        <v>0.95941354265409118</v>
      </c>
      <c r="I28" s="1">
        <f t="shared" si="3"/>
        <v>0.97553907579756094</v>
      </c>
      <c r="J28" s="1">
        <f t="shared" si="3"/>
        <v>0.99094264043408642</v>
      </c>
      <c r="K28" s="1">
        <f t="shared" si="3"/>
        <v>0.99565967478209749</v>
      </c>
      <c r="L28" s="1">
        <f t="shared" si="3"/>
        <v>0.99798793501693017</v>
      </c>
      <c r="M28" s="1">
        <f t="shared" si="3"/>
        <v>0.98021137487460575</v>
      </c>
      <c r="N28" s="1">
        <f t="shared" si="3"/>
        <v>0.97813735268449731</v>
      </c>
      <c r="O28" s="1">
        <f t="shared" si="3"/>
        <v>0.9130186860210886</v>
      </c>
      <c r="P28" s="1">
        <f t="shared" si="3"/>
        <v>0.97850359404915987</v>
      </c>
      <c r="Q28" s="1">
        <f t="shared" si="3"/>
        <v>0.98575651125261998</v>
      </c>
      <c r="R28" s="1">
        <f t="shared" si="3"/>
        <v>0.98005653278782756</v>
      </c>
      <c r="S28" s="1">
        <f t="shared" si="3"/>
        <v>0.97065340400318556</v>
      </c>
      <c r="T28" s="1">
        <f t="shared" si="3"/>
        <v>0.98918425352028483</v>
      </c>
      <c r="U28" s="1">
        <f t="shared" si="3"/>
        <v>0.97235763960146282</v>
      </c>
      <c r="V28" s="1">
        <f t="shared" si="3"/>
        <v>0.969010393146159</v>
      </c>
      <c r="W28" s="1">
        <f t="shared" si="3"/>
        <v>0.9967441399644007</v>
      </c>
      <c r="X28" s="1">
        <f t="shared" si="3"/>
        <v>0.94671092141120639</v>
      </c>
      <c r="Y28" s="1">
        <f t="shared" si="3"/>
        <v>0.99055909110464668</v>
      </c>
      <c r="Z28" s="1">
        <f t="shared" si="3"/>
        <v>0.96181855922415305</v>
      </c>
      <c r="AA28" s="1">
        <f t="shared" si="3"/>
        <v>0.95889193172846976</v>
      </c>
      <c r="AB28" s="1">
        <f t="shared" si="3"/>
        <v>0.98991243956537955</v>
      </c>
      <c r="AC28" s="1">
        <f t="shared" si="3"/>
        <v>0.99848047030689502</v>
      </c>
      <c r="AD28" s="1">
        <f t="shared" si="3"/>
        <v>0.99883155720873784</v>
      </c>
      <c r="AE28" s="1">
        <f t="shared" si="3"/>
        <v>0.86613271428366712</v>
      </c>
      <c r="AF28" s="1">
        <f t="shared" si="3"/>
        <v>0.98284455542673688</v>
      </c>
      <c r="AG28" s="1">
        <f t="shared" si="3"/>
        <v>0.98294695646893637</v>
      </c>
      <c r="AH28" s="1">
        <f t="shared" si="3"/>
        <v>0.957500568336622</v>
      </c>
      <c r="AI28" s="1">
        <f t="shared" si="3"/>
        <v>0.57288230137859586</v>
      </c>
      <c r="AJ28" s="1">
        <f t="shared" si="3"/>
        <v>0.95947748354707674</v>
      </c>
      <c r="AK28" s="1">
        <f t="shared" si="3"/>
        <v>0.9669824825076575</v>
      </c>
      <c r="AL28" s="1">
        <f t="shared" si="3"/>
        <v>0.81276372577579892</v>
      </c>
      <c r="AM28" s="1">
        <f t="shared" si="3"/>
        <v>0.98997007936520698</v>
      </c>
      <c r="AN28" s="1">
        <f t="shared" si="3"/>
        <v>0.43110945406194912</v>
      </c>
      <c r="AO28" s="1">
        <f t="shared" si="3"/>
        <v>0.96990953037596994</v>
      </c>
      <c r="AP28" s="1">
        <f t="shared" si="3"/>
        <v>0.40687370912327558</v>
      </c>
      <c r="AQ28" s="1">
        <f t="shared" si="3"/>
        <v>1</v>
      </c>
      <c r="AR28" s="1">
        <f t="shared" si="3"/>
        <v>0.31049151699270083</v>
      </c>
      <c r="AS28" s="1">
        <f t="shared" si="3"/>
        <v>0.97638044946525127</v>
      </c>
      <c r="AT28" s="1">
        <f t="shared" si="3"/>
        <v>0.37972591776912695</v>
      </c>
      <c r="AU28" s="1">
        <f t="shared" si="3"/>
        <v>0.7389201335351494</v>
      </c>
      <c r="AV28" s="1">
        <f t="shared" si="3"/>
        <v>0.97122649023501795</v>
      </c>
      <c r="AW28" s="1">
        <f t="shared" si="3"/>
        <v>0.96813011620078882</v>
      </c>
      <c r="AX28" s="1">
        <f t="shared" si="3"/>
        <v>0.98200996819305197</v>
      </c>
      <c r="AY28" s="1">
        <f t="shared" si="3"/>
        <v>0.96876542700493407</v>
      </c>
      <c r="AZ28" s="1">
        <f t="shared" si="3"/>
        <v>0.9903877340678231</v>
      </c>
      <c r="BA28" s="1">
        <f t="shared" si="3"/>
        <v>0.75461787650669454</v>
      </c>
      <c r="BB28" s="1">
        <f t="shared" si="3"/>
        <v>0.92637977040676434</v>
      </c>
    </row>
  </sheetData>
  <mergeCells count="4">
    <mergeCell ref="B4:B5"/>
    <mergeCell ref="B11:B12"/>
    <mergeCell ref="B18:B19"/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Ocean-based Capture</vt:lpstr>
      <vt:lpstr>DAC</vt:lpstr>
      <vt:lpstr>Enhanced Rock Weathering</vt:lpstr>
      <vt:lpstr>BECCS</vt:lpstr>
      <vt:lpstr>Other Biomass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</dc:creator>
  <cp:lastModifiedBy>Apoorv Lal</cp:lastModifiedBy>
  <dcterms:created xsi:type="dcterms:W3CDTF">2015-06-05T18:17:20Z</dcterms:created>
  <dcterms:modified xsi:type="dcterms:W3CDTF">2026-07-27T23:07:49Z</dcterms:modified>
</cp:coreProperties>
</file>